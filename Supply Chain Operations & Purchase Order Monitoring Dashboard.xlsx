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Analytics_Self_Projects\Excel Projects\"/>
    </mc:Choice>
  </mc:AlternateContent>
  <xr:revisionPtr revIDLastSave="0" documentId="8_{7DD70BF9-D45D-482D-A67B-D21ED9F56BF2}" xr6:coauthVersionLast="47" xr6:coauthVersionMax="47" xr10:uidLastSave="{00000000-0000-0000-0000-000000000000}"/>
  <bookViews>
    <workbookView xWindow="-108" yWindow="-108" windowWidth="23256" windowHeight="12456" activeTab="3" xr2:uid="{541FBF17-AD03-4022-B6E8-CB2C8FEB1422}"/>
  </bookViews>
  <sheets>
    <sheet name="supply_chain_data" sheetId="1" r:id="rId1"/>
    <sheet name="Pivot" sheetId="3" r:id="rId2"/>
    <sheet name="Supply_Chain_Dashboard" sheetId="4" r:id="rId3"/>
    <sheet name="PO_Supplier_Monitoring" sheetId="5" r:id="rId4"/>
  </sheets>
  <definedNames>
    <definedName name="Slicer_Delivery_Status">#N/A</definedName>
    <definedName name="Slicer_Location">#N/A</definedName>
    <definedName name="Slicer_Product_type">#N/A</definedName>
    <definedName name="Slicer_Routes">#N/A</definedName>
    <definedName name="Slicer_Supplier_name">#N/A</definedName>
    <definedName name="Slicer_Transportation_modes">#N/A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 i="5" l="1"/>
  <c r="Q5" i="5"/>
  <c r="L5" i="5"/>
  <c r="G5" i="5"/>
  <c r="B5" i="5"/>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V5" i="4"/>
  <c r="Q5" i="4"/>
  <c r="L5" i="4"/>
  <c r="G5" i="4"/>
  <c r="B5" i="4"/>
</calcChain>
</file>

<file path=xl/sharedStrings.xml><?xml version="1.0" encoding="utf-8"?>
<sst xmlns="http://schemas.openxmlformats.org/spreadsheetml/2006/main" count="1026" uniqueCount="198">
  <si>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</si>
  <si>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</si>
  <si>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</si>
  <si>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</si>
  <si>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</si>
  <si>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</si>
  <si>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</si>
  <si>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</si>
  <si>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</si>
  <si>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</si>
  <si>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</si>
  <si>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</si>
  <si>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</si>
  <si>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</si>
  <si>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</si>
  <si>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</si>
  <si>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</si>
  <si>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</si>
  <si>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</si>
  <si>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</si>
  <si>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</si>
  <si>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</si>
  <si>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</si>
  <si>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</si>
  <si>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</si>
  <si>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</si>
  <si>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</si>
  <si>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</si>
  <si>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</si>
  <si>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</si>
  <si>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</si>
  <si>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</si>
  <si>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</si>
  <si>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</si>
  <si>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</si>
  <si>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</si>
  <si>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</si>
  <si>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</si>
  <si>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</si>
  <si>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</si>
  <si>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</si>
  <si>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</si>
  <si>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</si>
  <si>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</si>
  <si>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</si>
  <si>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</si>
  <si>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</si>
  <si>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</si>
  <si>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</si>
  <si>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</si>
  <si>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</si>
  <si>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</si>
  <si>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</si>
  <si>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</si>
  <si>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</si>
  <si>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</si>
  <si>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</si>
  <si>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</si>
  <si>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</si>
  <si>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</si>
  <si>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</si>
  <si>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</si>
  <si>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</si>
  <si>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</si>
  <si>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</si>
  <si>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</si>
  <si>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</si>
  <si>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</si>
  <si>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</si>
  <si>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</si>
  <si>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</si>
  <si>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</si>
  <si>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</si>
  <si>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</si>
  <si>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</si>
  <si>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</si>
  <si>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</si>
  <si>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</si>
  <si>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</si>
  <si>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</si>
  <si>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</si>
  <si>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</si>
  <si>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</si>
  <si>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</si>
  <si>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</si>
  <si>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</si>
  <si>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</si>
  <si>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</si>
  <si>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</si>
  <si>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</si>
  <si>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</si>
  <si>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</si>
  <si>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</si>
  <si>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</si>
  <si>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</si>
  <si>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</si>
  <si>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</si>
  <si>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</si>
  <si>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</si>
  <si>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</si>
  <si>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</si>
  <si>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</si>
  <si>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</si>
  <si>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</si>
  <si>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</si>
  <si>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</si>
  <si>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</si>
  <si>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</si>
  <si>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</si>
  <si>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</si>
  <si>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</si>
  <si>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</si>
  <si>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</si>
  <si>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</si>
  <si>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</si>
  <si>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</si>
  <si>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</si>
  <si>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</si>
  <si>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</si>
  <si>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</si>
  <si>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</si>
  <si>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</si>
  <si>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</si>
  <si>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</si>
  <si>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</si>
  <si>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</si>
  <si>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</si>
  <si>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</si>
  <si>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</si>
  <si>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</si>
  <si>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</si>
  <si>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</si>
  <si>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</si>
  <si>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</si>
  <si>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</si>
  <si>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</si>
  <si>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</si>
  <si>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</si>
  <si>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</si>
  <si>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</si>
  <si>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</si>
  <si>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</si>
  <si>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</si>
  <si>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</si>
  <si>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</si>
  <si>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</si>
  <si>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</si>
  <si>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</si>
  <si>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</si>
  <si>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</si>
  <si>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</si>
  <si>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</si>
  <si>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</si>
  <si>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</si>
  <si>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PO Status</t>
  </si>
  <si>
    <t>Inventory Risk</t>
  </si>
  <si>
    <t>Delivery Status</t>
  </si>
  <si>
    <t>Quality Status</t>
  </si>
  <si>
    <t>Row Labels</t>
  </si>
  <si>
    <t>Grand Total</t>
  </si>
  <si>
    <t>Sum of Order quantities</t>
  </si>
  <si>
    <t>Order Quantity by Product Type</t>
  </si>
  <si>
    <t>Transportation Mode Distribution</t>
  </si>
  <si>
    <t>Count of SKU</t>
  </si>
  <si>
    <t>Lead Time Analysis by Location</t>
  </si>
  <si>
    <t>Average of Lead times</t>
  </si>
  <si>
    <t>Defect Rate by Supplier</t>
  </si>
  <si>
    <t>Average of Defect rates</t>
  </si>
  <si>
    <t>Supply Chain Operations Dashboard</t>
  </si>
  <si>
    <t>Total Orders</t>
  </si>
  <si>
    <t>Total Revenue</t>
  </si>
  <si>
    <t>Average Lead Time</t>
  </si>
  <si>
    <t>Average Defect Rate</t>
  </si>
  <si>
    <t>Total Shipping Cost</t>
  </si>
  <si>
    <t>Average of Shipping costs</t>
  </si>
  <si>
    <t>Average of Costs</t>
  </si>
  <si>
    <t>Average Shipping Cost by Supplier</t>
  </si>
  <si>
    <t>Average Operational Cost by Route</t>
  </si>
  <si>
    <t>Purchase Order &amp; Supplier Monitoring Dashboard</t>
  </si>
  <si>
    <t>Delayed Deliveries</t>
  </si>
  <si>
    <t>Order Priority</t>
  </si>
  <si>
    <t>Fast Deliveries</t>
  </si>
  <si>
    <t>Pending Inspections</t>
  </si>
  <si>
    <t>Failed Inspections</t>
  </si>
  <si>
    <t>Approved Orders</t>
  </si>
  <si>
    <t>Delivery Performance Monitoring</t>
  </si>
  <si>
    <t>Delayed</t>
  </si>
  <si>
    <t>Fast</t>
  </si>
  <si>
    <t>Moderate</t>
  </si>
  <si>
    <t>Purchase Order Status by Supplier</t>
  </si>
  <si>
    <t>Column Labels</t>
  </si>
  <si>
    <t>On Track</t>
  </si>
  <si>
    <t>Urgent</t>
  </si>
  <si>
    <t>Route-wise Delayed Shipment Analysis</t>
  </si>
  <si>
    <t>Inventory Risk Distribution</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</si>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</sst>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4" tint="-0.499984740745262"/>
      <name val="Arial Black"/>
      <family val="2"/>
    </font>
    <font>
      <sz val="11"/>
      <color theme="4" tint="-0.499984740745262"/>
      <name val="Calibri"/>
      <family val="2"/>
      <scheme val="minor"/>
    </font>
    <font>
      <sz val="16"/>
      <color theme="0"/>
      <name val="Arial Black"/>
      <family val="2"/>
    </font>
    <font>
      <sz val="14"/>
      <color theme="2"/>
      <name val="Arial Black"/>
      <family val="2"/>
    </font>
    <font>
      <b/>
      <sz val="14"/>
      <color theme="2"/>
      <name val="Arial Black"/>
      <family val="2"/>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21" fillId="34" borderId="0" xfId="0" applyFont="1" applyFill="1" applyAlignment="1">
      <alignment horizontal="center"/>
    </xf>
    <xf numFmtId="0" fontId="20" fillId="34" borderId="0" xfId="0" applyFont="1" applyFill="1" applyAlignment="1">
      <alignment horizontal="center"/>
    </xf>
    <xf numFmtId="1" fontId="20" fillId="34" borderId="0" xfId="0" applyNumberFormat="1" applyFont="1" applyFill="1" applyAlignment="1">
      <alignment horizontal="center"/>
    </xf>
    <xf numFmtId="2" fontId="20" fillId="34" borderId="0" xfId="0" applyNumberFormat="1" applyFont="1" applyFill="1" applyAlignment="1">
      <alignment horizontal="center"/>
    </xf>
    <xf numFmtId="0" fontId="18" fillId="33" borderId="0" xfId="0" applyFont="1" applyFill="1" applyAlignment="1">
      <alignment horizontal="center"/>
    </xf>
    <xf numFmtId="0" fontId="19" fillId="33" borderId="0" xfId="0" applyFont="1" applyFill="1" applyAlignment="1">
      <alignment horizontal="center"/>
    </xf>
    <xf numFmtId="0" fontId="0" fillId="0" borderId="0" xfId="0" applyNumberFormat="1"/>
    <xf numFmtId="0" fontId="22" fillId="34" borderId="0" xfId="0" applyFont="1" applyFill="1" applyAlignment="1">
      <alignment horizontal="center"/>
    </xf>
    <xf numFmtId="0" fontId="23"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Dashboard.xlsx]Pivot!PivotTable2</c:name>
    <c:fmtId val="2"/>
  </c:pivotSource>
  <c:chart>
    <c:title>
      <c:tx>
        <c:strRef>
          <c:f>Pivot!$A$1</c:f>
          <c:strCache>
            <c:ptCount val="1"/>
            <c:pt idx="0">
              <c:v>Order Quantity by Product Type</c:v>
            </c:pt>
          </c:strCache>
        </c:strRef>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c:f>
              <c:strCache>
                <c:ptCount val="3"/>
                <c:pt idx="0">
                  <c:v>cosmetics</c:v>
                </c:pt>
                <c:pt idx="1">
                  <c:v>haircare</c:v>
                </c:pt>
                <c:pt idx="2">
                  <c:v>skincare</c:v>
                </c:pt>
              </c:strCache>
            </c:strRef>
          </c:cat>
          <c:val>
            <c:numRef>
              <c:f>Pivot!$A$1</c:f>
              <c:numCache>
                <c:formatCode>General</c:formatCode>
                <c:ptCount val="3"/>
                <c:pt idx="0">
                  <c:v>1343</c:v>
                </c:pt>
                <c:pt idx="1">
                  <c:v>1480</c:v>
                </c:pt>
                <c:pt idx="2">
                  <c:v>2099</c:v>
                </c:pt>
              </c:numCache>
            </c:numRef>
          </c:val>
          <c:extLst>
            <c:ext xmlns:c16="http://schemas.microsoft.com/office/drawing/2014/chart" uri="{C3380CC4-5D6E-409C-BE32-E72D297353CC}">
              <c16:uniqueId val="{00000000-BA76-40A1-8B72-CDEC987BB886}"/>
            </c:ext>
          </c:extLst>
        </c:ser>
        <c:dLbls>
          <c:dLblPos val="outEnd"/>
          <c:showLegendKey val="0"/>
          <c:showVal val="1"/>
          <c:showCatName val="0"/>
          <c:showSerName val="0"/>
          <c:showPercent val="0"/>
          <c:showBubbleSize val="0"/>
        </c:dLbls>
        <c:gapWidth val="219"/>
        <c:overlap val="-27"/>
        <c:axId val="1163544095"/>
        <c:axId val="1163545055"/>
      </c:barChart>
      <c:catAx>
        <c:axId val="116354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45055"/>
        <c:crosses val="autoZero"/>
        <c:auto val="1"/>
        <c:lblAlgn val="ctr"/>
        <c:lblOffset val="100"/>
        <c:noMultiLvlLbl val="0"/>
      </c:catAx>
      <c:valAx>
        <c:axId val="116354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54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Dashboard.xlsx]Pivot!PivotTable5</c:name>
    <c:fmtId val="2"/>
  </c:pivotSource>
  <c:chart>
    <c:title>
      <c:tx>
        <c:strRef>
          <c:f>Pivot!$A$8</c:f>
          <c:strCache>
            <c:ptCount val="1"/>
            <c:pt idx="0">
              <c:v>Lead Time Analysis by Location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c:f>
              <c:strCache>
                <c:ptCount val="5"/>
                <c:pt idx="0">
                  <c:v>Bangalore</c:v>
                </c:pt>
                <c:pt idx="1">
                  <c:v>Chennai</c:v>
                </c:pt>
                <c:pt idx="2">
                  <c:v>Delhi</c:v>
                </c:pt>
                <c:pt idx="3">
                  <c:v>Kolkata</c:v>
                </c:pt>
                <c:pt idx="4">
                  <c:v>Mumbai</c:v>
                </c:pt>
              </c:strCache>
            </c:strRef>
          </c:cat>
          <c:val>
            <c:numRef>
              <c:f>Pivot!$A$8</c:f>
              <c:numCache>
                <c:formatCode>0.00</c:formatCode>
                <c:ptCount val="5"/>
                <c:pt idx="0">
                  <c:v>15.333333333333334</c:v>
                </c:pt>
                <c:pt idx="1">
                  <c:v>17.149999999999999</c:v>
                </c:pt>
                <c:pt idx="2">
                  <c:v>17.666666666666668</c:v>
                </c:pt>
                <c:pt idx="3">
                  <c:v>15.92</c:v>
                </c:pt>
                <c:pt idx="4">
                  <c:v>14.272727272727273</c:v>
                </c:pt>
              </c:numCache>
            </c:numRef>
          </c:val>
          <c:extLst>
            <c:ext xmlns:c16="http://schemas.microsoft.com/office/drawing/2014/chart" uri="{C3380CC4-5D6E-409C-BE32-E72D297353CC}">
              <c16:uniqueId val="{00000000-12D8-49C2-9C92-76FE35AB9BE4}"/>
            </c:ext>
          </c:extLst>
        </c:ser>
        <c:dLbls>
          <c:dLblPos val="outEnd"/>
          <c:showLegendKey val="0"/>
          <c:showVal val="1"/>
          <c:showCatName val="0"/>
          <c:showSerName val="0"/>
          <c:showPercent val="0"/>
          <c:showBubbleSize val="0"/>
        </c:dLbls>
        <c:gapWidth val="150"/>
        <c:axId val="1086105087"/>
        <c:axId val="1086104127"/>
      </c:barChart>
      <c:catAx>
        <c:axId val="10861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04127"/>
        <c:crosses val="autoZero"/>
        <c:auto val="1"/>
        <c:lblAlgn val="ctr"/>
        <c:lblOffset val="100"/>
        <c:noMultiLvlLbl val="0"/>
      </c:catAx>
      <c:valAx>
        <c:axId val="1086104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10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Dashboard.xlsx]Pivot!PivotTable9</c:name>
    <c:fmtId val="2"/>
  </c:pivotSource>
  <c:chart>
    <c:title>
      <c:tx>
        <c:strRef>
          <c:f>Pivot!$H$11</c:f>
          <c:strCache>
            <c:ptCount val="1"/>
            <c:pt idx="0">
              <c:v>Average Operational Cost by Route</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Pivot!$H$11</c:f>
              <c:strCache>
                <c:ptCount val="3"/>
                <c:pt idx="0">
                  <c:v>Route A</c:v>
                </c:pt>
                <c:pt idx="1">
                  <c:v>Route B</c:v>
                </c:pt>
                <c:pt idx="2">
                  <c:v>Route C</c:v>
                </c:pt>
              </c:strCache>
            </c:strRef>
          </c:cat>
          <c:val>
            <c:numRef>
              <c:f>Pivot!$H$11</c:f>
              <c:numCache>
                <c:formatCode>0.00</c:formatCode>
                <c:ptCount val="3"/>
                <c:pt idx="0">
                  <c:v>485.48312777565491</c:v>
                </c:pt>
                <c:pt idx="1">
                  <c:v>595.65902771895503</c:v>
                </c:pt>
                <c:pt idx="2">
                  <c:v>500.4709847929779</c:v>
                </c:pt>
              </c:numCache>
            </c:numRef>
          </c:val>
          <c:extLst>
            <c:ext xmlns:c16="http://schemas.microsoft.com/office/drawing/2014/chart" uri="{C3380CC4-5D6E-409C-BE32-E72D297353CC}">
              <c16:uniqueId val="{00000000-6C89-4001-960B-1FB5FEC2CF16}"/>
            </c:ext>
          </c:extLst>
        </c:ser>
        <c:dLbls>
          <c:dLblPos val="outEnd"/>
          <c:showLegendKey val="0"/>
          <c:showVal val="1"/>
          <c:showCatName val="0"/>
          <c:showSerName val="0"/>
          <c:showPercent val="0"/>
          <c:showBubbleSize val="0"/>
        </c:dLbls>
        <c:gapWidth val="150"/>
        <c:axId val="1174575263"/>
        <c:axId val="1174578143"/>
      </c:barChart>
      <c:catAx>
        <c:axId val="117457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78143"/>
        <c:crosses val="autoZero"/>
        <c:auto val="1"/>
        <c:lblAlgn val="ctr"/>
        <c:lblOffset val="100"/>
        <c:noMultiLvlLbl val="0"/>
      </c:catAx>
      <c:valAx>
        <c:axId val="1174578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7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Operations &amp; Purchase Order Monitoring Dashboard.xlsx]Pivot!PivotTable4</c:name>
    <c:fmtId val="2"/>
  </c:pivotSource>
  <c:chart>
    <c:title>
      <c:tx>
        <c:strRef>
          <c:f>Pivot!$H$1</c:f>
          <c:strCache>
            <c:ptCount val="1"/>
            <c:pt idx="0">
              <c:v>Transportation Mode Distribution</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pieChart>
        <c:varyColors val="1"/>
        <c:ser>
          <c:idx val="0"/>
          <c:order val="0"/>
          <c:tx>
            <c:strRef>
              <c:f>Pivot!$H$1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77EC-4B7E-B698-915332FE957A}"/>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77EC-4B7E-B698-915332FE957A}"/>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77EC-4B7E-B698-915332FE957A}"/>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77EC-4B7E-B698-915332FE95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Pivot!$H$1</c:f>
              <c:strCache>
                <c:ptCount val="4"/>
                <c:pt idx="0">
                  <c:v>Air</c:v>
                </c:pt>
                <c:pt idx="1">
                  <c:v>Rail</c:v>
                </c:pt>
                <c:pt idx="2">
                  <c:v>Road</c:v>
                </c:pt>
                <c:pt idx="3">
                  <c:v>Sea</c:v>
                </c:pt>
              </c:strCache>
            </c:strRef>
          </c:cat>
          <c:val>
            <c:numRef>
              <c:f>Pivot!$H$1</c:f>
              <c:numCache>
                <c:formatCode>0.00%</c:formatCode>
                <c:ptCount val="4"/>
                <c:pt idx="0">
                  <c:v>0.26</c:v>
                </c:pt>
                <c:pt idx="1">
                  <c:v>0.28000000000000003</c:v>
                </c:pt>
                <c:pt idx="2">
                  <c:v>0.28999999999999998</c:v>
                </c:pt>
                <c:pt idx="3">
                  <c:v>0.17</c:v>
                </c:pt>
              </c:numCache>
            </c:numRef>
          </c:val>
          <c:extLst>
            <c:ext xmlns:c16="http://schemas.microsoft.com/office/drawing/2014/chart" uri="{C3380CC4-5D6E-409C-BE32-E72D297353CC}">
              <c16:uniqueId val="{00000008-77EC-4B7E-B698-915332FE957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Dashboard.xlsx]Pivot!PivotTable3</c:name>
    <c:fmtId val="2"/>
  </c:pivotSource>
  <c:chart>
    <c:title>
      <c:tx>
        <c:strRef>
          <c:f>Pivot!$D$1</c:f>
          <c:strCache>
            <c:ptCount val="1"/>
            <c:pt idx="0">
              <c:v>Average Shipping Cost by Supplier</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c:f>
              <c:strCache>
                <c:ptCount val="5"/>
                <c:pt idx="0">
                  <c:v>Supplier 1</c:v>
                </c:pt>
                <c:pt idx="1">
                  <c:v>Supplier 2</c:v>
                </c:pt>
                <c:pt idx="2">
                  <c:v>Supplier 3</c:v>
                </c:pt>
                <c:pt idx="3">
                  <c:v>Supplier 4</c:v>
                </c:pt>
                <c:pt idx="4">
                  <c:v>Supplier 5</c:v>
                </c:pt>
              </c:strCache>
            </c:strRef>
          </c:cat>
          <c:val>
            <c:numRef>
              <c:f>Pivot!$D$1</c:f>
              <c:numCache>
                <c:formatCode>0.00</c:formatCode>
                <c:ptCount val="5"/>
                <c:pt idx="0">
                  <c:v>5.5123018285508447</c:v>
                </c:pt>
                <c:pt idx="1">
                  <c:v>5.7391780614618826</c:v>
                </c:pt>
                <c:pt idx="2">
                  <c:v>4.7887706252194722</c:v>
                </c:pt>
                <c:pt idx="3">
                  <c:v>5.7595729745619417</c:v>
                </c:pt>
                <c:pt idx="4">
                  <c:v>5.7898315310287227</c:v>
                </c:pt>
              </c:numCache>
            </c:numRef>
          </c:val>
          <c:extLst>
            <c:ext xmlns:c16="http://schemas.microsoft.com/office/drawing/2014/chart" uri="{C3380CC4-5D6E-409C-BE32-E72D297353CC}">
              <c16:uniqueId val="{00000000-1274-42D9-BDF2-5BB4E5BBB04F}"/>
            </c:ext>
          </c:extLst>
        </c:ser>
        <c:dLbls>
          <c:dLblPos val="outEnd"/>
          <c:showLegendKey val="0"/>
          <c:showVal val="1"/>
          <c:showCatName val="0"/>
          <c:showSerName val="0"/>
          <c:showPercent val="0"/>
          <c:showBubbleSize val="0"/>
        </c:dLbls>
        <c:gapWidth val="182"/>
        <c:axId val="1258701455"/>
        <c:axId val="1258703855"/>
      </c:barChart>
      <c:catAx>
        <c:axId val="125870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03855"/>
        <c:crosses val="autoZero"/>
        <c:auto val="1"/>
        <c:lblAlgn val="ctr"/>
        <c:lblOffset val="100"/>
        <c:noMultiLvlLbl val="0"/>
      </c:catAx>
      <c:valAx>
        <c:axId val="12587038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0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Dashboard.xlsx]Pivot!PivotTable8</c:name>
    <c:fmtId val="2"/>
  </c:pivotSource>
  <c:chart>
    <c:title>
      <c:tx>
        <c:strRef>
          <c:f>Pivot!$D$11</c:f>
          <c:strCache>
            <c:ptCount val="1"/>
            <c:pt idx="0">
              <c:v>Defect Rate by Supplier</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c:f>
              <c:strCache>
                <c:ptCount val="5"/>
                <c:pt idx="0">
                  <c:v>Supplier 1</c:v>
                </c:pt>
                <c:pt idx="1">
                  <c:v>Supplier 2</c:v>
                </c:pt>
                <c:pt idx="2">
                  <c:v>Supplier 3</c:v>
                </c:pt>
                <c:pt idx="3">
                  <c:v>Supplier 4</c:v>
                </c:pt>
                <c:pt idx="4">
                  <c:v>Supplier 5</c:v>
                </c:pt>
              </c:strCache>
            </c:strRef>
          </c:cat>
          <c:val>
            <c:numRef>
              <c:f>Pivot!$D$11</c:f>
              <c:numCache>
                <c:formatCode>0.00</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523B-4CAD-82FB-7543120AA7E1}"/>
            </c:ext>
          </c:extLst>
        </c:ser>
        <c:dLbls>
          <c:dLblPos val="outEnd"/>
          <c:showLegendKey val="0"/>
          <c:showVal val="1"/>
          <c:showCatName val="0"/>
          <c:showSerName val="0"/>
          <c:showPercent val="0"/>
          <c:showBubbleSize val="0"/>
        </c:dLbls>
        <c:gapWidth val="182"/>
        <c:axId val="1082137759"/>
        <c:axId val="1082138239"/>
      </c:barChart>
      <c:catAx>
        <c:axId val="108213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38239"/>
        <c:crosses val="autoZero"/>
        <c:auto val="1"/>
        <c:lblAlgn val="ctr"/>
        <c:lblOffset val="100"/>
        <c:noMultiLvlLbl val="0"/>
      </c:catAx>
      <c:valAx>
        <c:axId val="1082138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Dashboard.xlsx]Pivot!PivotTable8</c:name>
    <c:fmtId val="5"/>
  </c:pivotSource>
  <c:chart>
    <c:title>
      <c:tx>
        <c:strRef>
          <c:f>Pivot!$D$11</c:f>
          <c:strCache>
            <c:ptCount val="1"/>
            <c:pt idx="0">
              <c:v>Defect Rate by Supplier</c:v>
            </c:pt>
          </c:strCache>
        </c:strRef>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c:f>
              <c:strCache>
                <c:ptCount val="5"/>
                <c:pt idx="0">
                  <c:v>Supplier 1</c:v>
                </c:pt>
                <c:pt idx="1">
                  <c:v>Supplier 2</c:v>
                </c:pt>
                <c:pt idx="2">
                  <c:v>Supplier 3</c:v>
                </c:pt>
                <c:pt idx="3">
                  <c:v>Supplier 4</c:v>
                </c:pt>
                <c:pt idx="4">
                  <c:v>Supplier 5</c:v>
                </c:pt>
              </c:strCache>
            </c:strRef>
          </c:cat>
          <c:val>
            <c:numRef>
              <c:f>Pivot!$D$11</c:f>
              <c:numCache>
                <c:formatCode>0.00</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09C2-43C1-9DCF-52E4BC84AF12}"/>
            </c:ext>
          </c:extLst>
        </c:ser>
        <c:dLbls>
          <c:dLblPos val="outEnd"/>
          <c:showLegendKey val="0"/>
          <c:showVal val="1"/>
          <c:showCatName val="0"/>
          <c:showSerName val="0"/>
          <c:showPercent val="0"/>
          <c:showBubbleSize val="0"/>
        </c:dLbls>
        <c:gapWidth val="182"/>
        <c:axId val="1082137759"/>
        <c:axId val="1082138239"/>
      </c:barChart>
      <c:catAx>
        <c:axId val="108213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38239"/>
        <c:crosses val="autoZero"/>
        <c:auto val="1"/>
        <c:lblAlgn val="ctr"/>
        <c:lblOffset val="100"/>
        <c:noMultiLvlLbl val="0"/>
      </c:catAx>
      <c:valAx>
        <c:axId val="10821382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13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Operations &amp; Purchase Order Monitoring Dashboard.xlsx]Pivot!PivotTable7</c:name>
    <c:fmtId val="2"/>
  </c:pivotSource>
  <c:chart>
    <c:title>
      <c:tx>
        <c:strRef>
          <c:f>Pivot!$A$21</c:f>
          <c:strCache>
            <c:ptCount val="1"/>
            <c:pt idx="0">
              <c:v>Delivery Performance Monitoring</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Pivot!$A$21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24C-4B91-8835-FDCDC674721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24C-4B91-8835-FDCDC674721A}"/>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24C-4B91-8835-FDCDC67472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Pivot!$A$21</c:f>
              <c:strCache>
                <c:ptCount val="3"/>
                <c:pt idx="0">
                  <c:v>Delayed</c:v>
                </c:pt>
                <c:pt idx="1">
                  <c:v>Fast</c:v>
                </c:pt>
                <c:pt idx="2">
                  <c:v>Moderate</c:v>
                </c:pt>
              </c:strCache>
            </c:strRef>
          </c:cat>
          <c:val>
            <c:numRef>
              <c:f>Pivot!$A$21</c:f>
              <c:numCache>
                <c:formatCode>0.00%</c:formatCode>
                <c:ptCount val="3"/>
                <c:pt idx="0">
                  <c:v>0.43</c:v>
                </c:pt>
                <c:pt idx="1">
                  <c:v>0.23</c:v>
                </c:pt>
                <c:pt idx="2">
                  <c:v>0.34</c:v>
                </c:pt>
              </c:numCache>
            </c:numRef>
          </c:val>
          <c:extLst>
            <c:ext xmlns:c16="http://schemas.microsoft.com/office/drawing/2014/chart" uri="{C3380CC4-5D6E-409C-BE32-E72D297353CC}">
              <c16:uniqueId val="{00000006-324C-4B91-8835-FDCDC674721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Operations &amp; Purchase Order Monitoring Dashboard.xlsx]Pivot!PivotTable11</c:name>
    <c:fmtId val="4"/>
  </c:pivotSource>
  <c:chart>
    <c:title>
      <c:tx>
        <c:strRef>
          <c:f>Pivot!$J$19</c:f>
          <c:strCache>
            <c:ptCount val="1"/>
            <c:pt idx="0">
              <c:v>Route-wise Delayed Shipment Analysis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Pivot!$J$19</c:f>
              <c:strCache>
                <c:ptCount val="3"/>
                <c:pt idx="0">
                  <c:v>Route A</c:v>
                </c:pt>
                <c:pt idx="1">
                  <c:v>Route B</c:v>
                </c:pt>
                <c:pt idx="2">
                  <c:v>Route C</c:v>
                </c:pt>
              </c:strCache>
            </c:strRef>
          </c:cat>
          <c:val>
            <c:numRef>
              <c:f>Pivot!$J$19</c:f>
              <c:numCache>
                <c:formatCode>General</c:formatCode>
                <c:ptCount val="3"/>
                <c:pt idx="0">
                  <c:v>17</c:v>
                </c:pt>
                <c:pt idx="1">
                  <c:v>18</c:v>
                </c:pt>
                <c:pt idx="2">
                  <c:v>8</c:v>
                </c:pt>
              </c:numCache>
            </c:numRef>
          </c:val>
          <c:extLst>
            <c:ext xmlns:c16="http://schemas.microsoft.com/office/drawing/2014/chart" uri="{C3380CC4-5D6E-409C-BE32-E72D297353CC}">
              <c16:uniqueId val="{00000000-9215-42A1-B9A4-54BC92A0EB2C}"/>
            </c:ext>
          </c:extLst>
        </c:ser>
        <c:dLbls>
          <c:dLblPos val="outEnd"/>
          <c:showLegendKey val="0"/>
          <c:showVal val="1"/>
          <c:showCatName val="0"/>
          <c:showSerName val="0"/>
          <c:showPercent val="0"/>
          <c:showBubbleSize val="0"/>
        </c:dLbls>
        <c:gapWidth val="219"/>
        <c:overlap val="-27"/>
        <c:axId val="241651760"/>
        <c:axId val="241652720"/>
      </c:barChart>
      <c:catAx>
        <c:axId val="24165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52720"/>
        <c:crosses val="autoZero"/>
        <c:auto val="1"/>
        <c:lblAlgn val="ctr"/>
        <c:lblOffset val="100"/>
        <c:noMultiLvlLbl val="0"/>
      </c:catAx>
      <c:valAx>
        <c:axId val="2416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5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[Supply Chain Operations &amp; Purchase Order Monitoring Dashboard.xlsx]Pivot!PivotTable12</c:name>
    <c:fmtId val="7"/>
  </c:pivotSource>
  <c:chart>
    <c:title>
      <c:tx>
        <c:strRef>
          <c:f>Pivot!$J$29</c:f>
          <c:strCache>
            <c:ptCount val="1"/>
            <c:pt idx="0">
              <c:v>Inventory Risk Distribution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0.11363636363636363"/>
              <c:y val="-7.6271237335671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9696969696969696"/>
              <c:y val="7.6271237335671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2878787878787881"/>
              <c:y val="-2.5423745778557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Pivot!$J$29</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28A5-46BF-B987-759FA00BBB0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8A5-46BF-B987-759FA00BBB0A}"/>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28A5-46BF-B987-759FA00BBB0A}"/>
              </c:ext>
            </c:extLst>
          </c:dPt>
          <c:dLbls>
            <c:dLbl>
              <c:idx val="0"/>
              <c:layout>
                <c:manualLayout>
                  <c:x val="0.11363636363636363"/>
                  <c:y val="-7.6271237335671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A5-46BF-B987-759FA00BBB0A}"/>
                </c:ext>
              </c:extLst>
            </c:dLbl>
            <c:dLbl>
              <c:idx val="1"/>
              <c:layout>
                <c:manualLayout>
                  <c:x val="-0.19696969696969696"/>
                  <c:y val="7.6271237335671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A5-46BF-B987-759FA00BBB0A}"/>
                </c:ext>
              </c:extLst>
            </c:dLbl>
            <c:dLbl>
              <c:idx val="2"/>
              <c:layout>
                <c:manualLayout>
                  <c:x val="-0.12878787878787881"/>
                  <c:y val="-2.54237457785571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A5-46BF-B987-759FA00BBB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Pivot!$J$29</c:f>
              <c:strCache>
                <c:ptCount val="3"/>
                <c:pt idx="0">
                  <c:v>High</c:v>
                </c:pt>
                <c:pt idx="1">
                  <c:v>Low</c:v>
                </c:pt>
                <c:pt idx="2">
                  <c:v>Medium</c:v>
                </c:pt>
              </c:strCache>
            </c:strRef>
          </c:cat>
          <c:val>
            <c:numRef>
              <c:f>Pivot!$J$29</c:f>
              <c:numCache>
                <c:formatCode>0.00%</c:formatCode>
                <c:ptCount val="3"/>
                <c:pt idx="0">
                  <c:v>0.27</c:v>
                </c:pt>
                <c:pt idx="1">
                  <c:v>0.47</c:v>
                </c:pt>
                <c:pt idx="2">
                  <c:v>0.26</c:v>
                </c:pt>
              </c:numCache>
            </c:numRef>
          </c:val>
          <c:extLst>
            <c:ext xmlns:c16="http://schemas.microsoft.com/office/drawing/2014/chart" uri="{C3380CC4-5D6E-409C-BE32-E72D297353CC}">
              <c16:uniqueId val="{00000006-28A5-46BF-B987-759FA00BBB0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[Supply Chain Operations &amp; Purchase Order Monitoring Dashboard.xlsx]Pivot!PivotTable10</c:name>
    <c:fmtId val="2"/>
  </c:pivotSource>
  <c:chart>
    <c:title>
      <c:tx>
        <c:strRef>
          <c:f>Pivot!$E$21</c:f>
          <c:strCache>
            <c:ptCount val="1"/>
            <c:pt idx="0">
              <c:v>Purchase Order Status by Supplier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Pivot!$E$21</c:f>
              <c:strCache>
                <c:ptCount val="1"/>
                <c:pt idx="0">
                  <c:v>On Track</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Pivot!$E$21</c:f>
              <c:strCache>
                <c:ptCount val="5"/>
                <c:pt idx="0">
                  <c:v>Supplier 1</c:v>
                </c:pt>
                <c:pt idx="1">
                  <c:v>Supplier 2</c:v>
                </c:pt>
                <c:pt idx="2">
                  <c:v>Supplier 3</c:v>
                </c:pt>
                <c:pt idx="3">
                  <c:v>Supplier 4</c:v>
                </c:pt>
                <c:pt idx="4">
                  <c:v>Supplier 5</c:v>
                </c:pt>
              </c:strCache>
            </c:strRef>
          </c:cat>
          <c:val>
            <c:numRef>
              <c:f>Pivot!$E$21</c:f>
              <c:numCache>
                <c:formatCode>General</c:formatCode>
                <c:ptCount val="5"/>
                <c:pt idx="0">
                  <c:v>9</c:v>
                </c:pt>
                <c:pt idx="1">
                  <c:v>11</c:v>
                </c:pt>
                <c:pt idx="2">
                  <c:v>8</c:v>
                </c:pt>
                <c:pt idx="3">
                  <c:v>11</c:v>
                </c:pt>
                <c:pt idx="4">
                  <c:v>7</c:v>
                </c:pt>
              </c:numCache>
            </c:numRef>
          </c:val>
          <c:extLst>
            <c:ext xmlns:c16="http://schemas.microsoft.com/office/drawing/2014/chart" uri="{C3380CC4-5D6E-409C-BE32-E72D297353CC}">
              <c16:uniqueId val="{00000000-3A65-4D05-A838-A07967B40F38}"/>
            </c:ext>
          </c:extLst>
        </c:ser>
        <c:ser>
          <c:idx val="1"/>
          <c:order val="1"/>
          <c:tx>
            <c:strRef>
              <c:f>Pivot!$E$21</c:f>
              <c:strCache>
                <c:ptCount val="1"/>
                <c:pt idx="0">
                  <c:v>Urgent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Pivot!$E$21</c:f>
              <c:strCache>
                <c:ptCount val="5"/>
                <c:pt idx="0">
                  <c:v>Supplier 1</c:v>
                </c:pt>
                <c:pt idx="1">
                  <c:v>Supplier 2</c:v>
                </c:pt>
                <c:pt idx="2">
                  <c:v>Supplier 3</c:v>
                </c:pt>
                <c:pt idx="3">
                  <c:v>Supplier 4</c:v>
                </c:pt>
                <c:pt idx="4">
                  <c:v>Supplier 5</c:v>
                </c:pt>
              </c:strCache>
            </c:strRef>
          </c:cat>
          <c:val>
            <c:numRef>
              <c:f>Pivot!$E$21</c:f>
              <c:numCache>
                <c:formatCode>General</c:formatCode>
                <c:ptCount val="5"/>
                <c:pt idx="0">
                  <c:v>18</c:v>
                </c:pt>
                <c:pt idx="1">
                  <c:v>11</c:v>
                </c:pt>
                <c:pt idx="2">
                  <c:v>7</c:v>
                </c:pt>
                <c:pt idx="3">
                  <c:v>7</c:v>
                </c:pt>
                <c:pt idx="4">
                  <c:v>11</c:v>
                </c:pt>
              </c:numCache>
            </c:numRef>
          </c:val>
          <c:extLst>
            <c:ext xmlns:c16="http://schemas.microsoft.com/office/drawing/2014/chart" uri="{C3380CC4-5D6E-409C-BE32-E72D297353CC}">
              <c16:uniqueId val="{00000001-3A65-4D05-A838-A07967B40F38}"/>
            </c:ext>
          </c:extLst>
        </c:ser>
        <c:dLbls>
          <c:dLblPos val="outEnd"/>
          <c:showLegendKey val="0"/>
          <c:showVal val="1"/>
          <c:showCatName val="0"/>
          <c:showSerName val="0"/>
          <c:showPercent val="0"/>
          <c:showBubbleSize val="0"/>
        </c:dLbls>
        <c:gapWidth val="182"/>
        <c:axId val="183766272"/>
        <c:axId val="183762432"/>
      </c:barChart>
      <c:catAx>
        <c:axId val="18376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62432"/>
        <c:crosses val="autoZero"/>
        <c:auto val="1"/>
        <c:lblAlgn val="ctr"/>
        <c:lblOffset val="100"/>
        <c:noMultiLvlLbl val="0"/>
      </c:catAx>
      <c:valAx>
        <c:axId val="183762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6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847</xdr:colOff>
      <xdr:row>6</xdr:row>
      <xdr:rowOff>8466</xdr:rowOff>
    </xdr:from>
    <xdr:to>
      <xdr:col>6</xdr:col>
      <xdr:colOff>313266</xdr:colOff>
      <xdr:row>17</xdr:row>
      <xdr:rowOff>0</xdr:rowOff>
    </xdr:to>
    <xdr:graphicFrame macro="">
      <xdr:nvGraphicFramePr>
        <xdr:cNvPr id="2" name="Chart 1">
          <a:extLst>
            <a:ext uri="{FF2B5EF4-FFF2-40B4-BE49-F238E27FC236}">
              <a16:creationId xmlns:a16="http://schemas.microsoft.com/office/drawing/2014/main" id="{D490AC0C-9279-4BF5-AD0D-DE46E13B1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8465</xdr:colOff>
      <xdr:row>6</xdr:row>
      <xdr:rowOff>8467</xdr:rowOff>
    </xdr:from>
    <xdr:to>
      <xdr:col>12</xdr:col>
      <xdr:colOff>313266</xdr:colOff>
      <xdr:row>17</xdr:row>
      <xdr:rowOff>0</xdr:rowOff>
    </xdr:to>
    <xdr:graphicFrame macro="">
      <xdr:nvGraphicFramePr>
        <xdr:cNvPr id="3" name="Chart 2">
          <a:extLst>
            <a:ext uri="{FF2B5EF4-FFF2-40B4-BE49-F238E27FC236}">
              <a16:creationId xmlns:a16="http://schemas.microsoft.com/office/drawing/2014/main" id="{1A98D9E9-2FB2-4D02-9E73-36B6DF443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8467</xdr:colOff>
      <xdr:row>5</xdr:row>
      <xdr:rowOff>182033</xdr:rowOff>
    </xdr:from>
    <xdr:to>
      <xdr:col>18</xdr:col>
      <xdr:colOff>338667</xdr:colOff>
      <xdr:row>17</xdr:row>
      <xdr:rowOff>0</xdr:rowOff>
    </xdr:to>
    <xdr:graphicFrame macro="">
      <xdr:nvGraphicFramePr>
        <xdr:cNvPr id="4" name="Chart 3">
          <a:extLst>
            <a:ext uri="{FF2B5EF4-FFF2-40B4-BE49-F238E27FC236}">
              <a16:creationId xmlns:a16="http://schemas.microsoft.com/office/drawing/2014/main" id="{C06C3DF6-3441-4C46-BCAE-7AD2C43C6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11853</xdr:colOff>
      <xdr:row>6</xdr:row>
      <xdr:rowOff>9737</xdr:rowOff>
    </xdr:from>
    <xdr:to>
      <xdr:col>24</xdr:col>
      <xdr:colOff>601133</xdr:colOff>
      <xdr:row>16</xdr:row>
      <xdr:rowOff>93980</xdr:rowOff>
    </xdr:to>
    <xdr:graphicFrame macro="">
      <xdr:nvGraphicFramePr>
        <xdr:cNvPr id="5" name="Chart 4">
          <a:extLst>
            <a:ext uri="{FF2B5EF4-FFF2-40B4-BE49-F238E27FC236}">
              <a16:creationId xmlns:a16="http://schemas.microsoft.com/office/drawing/2014/main" id="{BA30D66F-3416-4B9B-A7B6-D16C672B5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17</xdr:row>
      <xdr:rowOff>152402</xdr:rowOff>
    </xdr:from>
    <xdr:to>
      <xdr:col>9</xdr:col>
      <xdr:colOff>16933</xdr:colOff>
      <xdr:row>28</xdr:row>
      <xdr:rowOff>93134</xdr:rowOff>
    </xdr:to>
    <xdr:graphicFrame macro="">
      <xdr:nvGraphicFramePr>
        <xdr:cNvPr id="6" name="Chart 5">
          <a:extLst>
            <a:ext uri="{FF2B5EF4-FFF2-40B4-BE49-F238E27FC236}">
              <a16:creationId xmlns:a16="http://schemas.microsoft.com/office/drawing/2014/main" id="{8EF335BE-6E70-46E6-A0E7-9CF56CE5D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321731</xdr:colOff>
      <xdr:row>17</xdr:row>
      <xdr:rowOff>172719</xdr:rowOff>
    </xdr:from>
    <xdr:to>
      <xdr:col>24</xdr:col>
      <xdr:colOff>592666</xdr:colOff>
      <xdr:row>28</xdr:row>
      <xdr:rowOff>59267</xdr:rowOff>
    </xdr:to>
    <xdr:graphicFrame macro="">
      <xdr:nvGraphicFramePr>
        <xdr:cNvPr id="7" name="Chart 6">
          <a:extLst>
            <a:ext uri="{FF2B5EF4-FFF2-40B4-BE49-F238E27FC236}">
              <a16:creationId xmlns:a16="http://schemas.microsoft.com/office/drawing/2014/main" id="{65FEE1D9-648C-49B3-AB74-95020E3EC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298874</xdr:colOff>
      <xdr:row>24</xdr:row>
      <xdr:rowOff>40637</xdr:rowOff>
    </xdr:from>
    <xdr:to>
      <xdr:col>12</xdr:col>
      <xdr:colOff>298874</xdr:colOff>
      <xdr:row>28</xdr:row>
      <xdr:rowOff>177799</xdr:rowOff>
    </xdr:to>
    <mc:AlternateContent xmlns:mc="http://schemas.openxmlformats.org/markup-compatibility/2006" xmlns:a14="http://schemas.microsoft.com/office/drawing/2010/main">
      <mc:Choice Requires="a14">
        <xdr:graphicFrame macro="">
          <xdr:nvGraphicFramePr>
            <xdr:cNvPr id="8" name="Product type">
              <a:extLst>
                <a:ext uri="{FF2B5EF4-FFF2-40B4-BE49-F238E27FC236}">
                  <a16:creationId xmlns:a16="http://schemas.microsoft.com/office/drawing/2014/main" id="{7F32A9B8-E531-85D9-0E19-AC26A09C1279}"/>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5785274" y="4731170"/>
              <a:ext cx="1828800" cy="882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304801</xdr:colOff>
      <xdr:row>18</xdr:row>
      <xdr:rowOff>12701</xdr:rowOff>
    </xdr:from>
    <xdr:to>
      <xdr:col>12</xdr:col>
      <xdr:colOff>304801</xdr:colOff>
      <xdr:row>24</xdr:row>
      <xdr:rowOff>33867</xdr:rowOff>
    </xdr:to>
    <mc:AlternateContent xmlns:mc="http://schemas.openxmlformats.org/markup-compatibility/2006" xmlns:a14="http://schemas.microsoft.com/office/drawing/2010/main">
      <mc:Choice Requires="a14">
        <xdr:graphicFrame macro="">
          <xdr:nvGraphicFramePr>
            <xdr:cNvPr id="9" name="Supplier name">
              <a:extLst>
                <a:ext uri="{FF2B5EF4-FFF2-40B4-BE49-F238E27FC236}">
                  <a16:creationId xmlns:a16="http://schemas.microsoft.com/office/drawing/2014/main" id="{572D05DB-29B4-25BF-8C4D-FB8E5E062BC1}"/>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5791201" y="3585634"/>
              <a:ext cx="1828800" cy="1138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14393</xdr:colOff>
      <xdr:row>18</xdr:row>
      <xdr:rowOff>16934</xdr:rowOff>
    </xdr:from>
    <xdr:to>
      <xdr:col>16</xdr:col>
      <xdr:colOff>14393</xdr:colOff>
      <xdr:row>24</xdr:row>
      <xdr:rowOff>25402</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99231162-B98B-C167-016F-7E7EC75F8D7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939193" y="3589867"/>
              <a:ext cx="1828800" cy="1126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11853</xdr:colOff>
      <xdr:row>24</xdr:row>
      <xdr:rowOff>25401</xdr:rowOff>
    </xdr:from>
    <xdr:to>
      <xdr:col>16</xdr:col>
      <xdr:colOff>11853</xdr:colOff>
      <xdr:row>29</xdr:row>
      <xdr:rowOff>8466</xdr:rowOff>
    </xdr:to>
    <mc:AlternateContent xmlns:mc="http://schemas.openxmlformats.org/markup-compatibility/2006" xmlns:a14="http://schemas.microsoft.com/office/drawing/2010/main">
      <mc:Choice Requires="a14">
        <xdr:graphicFrame macro="">
          <xdr:nvGraphicFramePr>
            <xdr:cNvPr id="11" name="Transportation modes">
              <a:extLst>
                <a:ext uri="{FF2B5EF4-FFF2-40B4-BE49-F238E27FC236}">
                  <a16:creationId xmlns:a16="http://schemas.microsoft.com/office/drawing/2014/main" id="{4808170C-F5B2-E887-0FEE-3E8AC14825F3}"/>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7936653" y="4715934"/>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601130</xdr:colOff>
      <xdr:row>17</xdr:row>
      <xdr:rowOff>164253</xdr:rowOff>
    </xdr:from>
    <xdr:to>
      <xdr:col>10</xdr:col>
      <xdr:colOff>482599</xdr:colOff>
      <xdr:row>28</xdr:row>
      <xdr:rowOff>50801</xdr:rowOff>
    </xdr:to>
    <xdr:graphicFrame macro="">
      <xdr:nvGraphicFramePr>
        <xdr:cNvPr id="7" name="Chart 6">
          <a:extLst>
            <a:ext uri="{FF2B5EF4-FFF2-40B4-BE49-F238E27FC236}">
              <a16:creationId xmlns:a16="http://schemas.microsoft.com/office/drawing/2014/main" id="{0FB6C7EC-61B4-449A-94FD-0BC721925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584200</xdr:colOff>
      <xdr:row>14</xdr:row>
      <xdr:rowOff>97366</xdr:rowOff>
    </xdr:from>
    <xdr:to>
      <xdr:col>25</xdr:col>
      <xdr:colOff>42334</xdr:colOff>
      <xdr:row>24</xdr:row>
      <xdr:rowOff>25400</xdr:rowOff>
    </xdr:to>
    <mc:AlternateContent xmlns:mc="http://schemas.openxmlformats.org/markup-compatibility/2006">
      <mc:Choice xmlns:a14="http://schemas.microsoft.com/office/drawing/2010/main" Requires="a14">
        <xdr:graphicFrame macro="">
          <xdr:nvGraphicFramePr>
            <xdr:cNvPr id="9" name="Supplier name 1">
              <a:extLst>
                <a:ext uri="{FF2B5EF4-FFF2-40B4-BE49-F238E27FC236}">
                  <a16:creationId xmlns:a16="http://schemas.microsoft.com/office/drawing/2014/main" id="{CA79D0F4-DD31-4F74-B8EB-BEBABBFDA66C}"/>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dr:sp macro="" textlink="">
          <xdr:nvSpPr>
            <xdr:cNvPr id="0" name=""/>
            <xdr:cNvSpPr>
              <a:spLocks noTextEdit="1"/>
            </xdr:cNvSpPr>
          </xdr:nvSpPr>
          <xdr:spPr>
            <a:xfrm>
              <a:off x="13385800" y="2925233"/>
              <a:ext cx="1896534"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604520</xdr:colOff>
      <xdr:row>6</xdr:row>
      <xdr:rowOff>8469</xdr:rowOff>
    </xdr:from>
    <xdr:to>
      <xdr:col>25</xdr:col>
      <xdr:colOff>16933</xdr:colOff>
      <xdr:row>13</xdr:row>
      <xdr:rowOff>101602</xdr:rowOff>
    </xdr:to>
    <mc:AlternateContent xmlns:mc="http://schemas.openxmlformats.org/markup-compatibility/2006">
      <mc:Choice xmlns:a14="http://schemas.microsoft.com/office/drawing/2010/main" Requires="a14">
        <xdr:graphicFrame macro="">
          <xdr:nvGraphicFramePr>
            <xdr:cNvPr id="11" name="Transportation modes 1">
              <a:extLst>
                <a:ext uri="{FF2B5EF4-FFF2-40B4-BE49-F238E27FC236}">
                  <a16:creationId xmlns:a16="http://schemas.microsoft.com/office/drawing/2014/main" id="{72EAC798-E72F-495B-AF88-E29F5CE69FE5}"/>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dr:sp macro="" textlink="">
          <xdr:nvSpPr>
            <xdr:cNvPr id="0" name=""/>
            <xdr:cNvSpPr>
              <a:spLocks noTextEdit="1"/>
            </xdr:cNvSpPr>
          </xdr:nvSpPr>
          <xdr:spPr>
            <a:xfrm>
              <a:off x="13406120" y="1346202"/>
              <a:ext cx="1850813"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601133</xdr:colOff>
      <xdr:row>6</xdr:row>
      <xdr:rowOff>16933</xdr:rowOff>
    </xdr:from>
    <xdr:to>
      <xdr:col>6</xdr:col>
      <xdr:colOff>321733</xdr:colOff>
      <xdr:row>17</xdr:row>
      <xdr:rowOff>16932</xdr:rowOff>
    </xdr:to>
    <xdr:graphicFrame macro="">
      <xdr:nvGraphicFramePr>
        <xdr:cNvPr id="12" name="Chart 11">
          <a:extLst>
            <a:ext uri="{FF2B5EF4-FFF2-40B4-BE49-F238E27FC236}">
              <a16:creationId xmlns:a16="http://schemas.microsoft.com/office/drawing/2014/main" id="{93DBA144-7CB1-4178-8C65-1D2E75576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592666</xdr:colOff>
      <xdr:row>6</xdr:row>
      <xdr:rowOff>25401</xdr:rowOff>
    </xdr:from>
    <xdr:to>
      <xdr:col>12</xdr:col>
      <xdr:colOff>355600</xdr:colOff>
      <xdr:row>17</xdr:row>
      <xdr:rowOff>0</xdr:rowOff>
    </xdr:to>
    <xdr:graphicFrame macro="">
      <xdr:nvGraphicFramePr>
        <xdr:cNvPr id="13" name="Chart 12">
          <a:extLst>
            <a:ext uri="{FF2B5EF4-FFF2-40B4-BE49-F238E27FC236}">
              <a16:creationId xmlns:a16="http://schemas.microsoft.com/office/drawing/2014/main" id="{B47D0635-B33A-44AD-99BE-B654D1EC1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16933</xdr:colOff>
      <xdr:row>6</xdr:row>
      <xdr:rowOff>33868</xdr:rowOff>
    </xdr:from>
    <xdr:to>
      <xdr:col>18</xdr:col>
      <xdr:colOff>321733</xdr:colOff>
      <xdr:row>16</xdr:row>
      <xdr:rowOff>169333</xdr:rowOff>
    </xdr:to>
    <xdr:graphicFrame macro="">
      <xdr:nvGraphicFramePr>
        <xdr:cNvPr id="14" name="Chart 13">
          <a:extLst>
            <a:ext uri="{FF2B5EF4-FFF2-40B4-BE49-F238E27FC236}">
              <a16:creationId xmlns:a16="http://schemas.microsoft.com/office/drawing/2014/main" id="{088040FF-6111-4895-968A-4ED240DA9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491067</xdr:colOff>
      <xdr:row>6</xdr:row>
      <xdr:rowOff>25401</xdr:rowOff>
    </xdr:from>
    <xdr:to>
      <xdr:col>21</xdr:col>
      <xdr:colOff>491067</xdr:colOff>
      <xdr:row>11</xdr:row>
      <xdr:rowOff>160866</xdr:rowOff>
    </xdr:to>
    <mc:AlternateContent xmlns:mc="http://schemas.openxmlformats.org/markup-compatibility/2006">
      <mc:Choice xmlns:a14="http://schemas.microsoft.com/office/drawing/2010/main" Requires="a14">
        <xdr:graphicFrame macro="">
          <xdr:nvGraphicFramePr>
            <xdr:cNvPr id="15" name="Routes">
              <a:extLst>
                <a:ext uri="{FF2B5EF4-FFF2-40B4-BE49-F238E27FC236}">
                  <a16:creationId xmlns:a16="http://schemas.microsoft.com/office/drawing/2014/main" id="{03DCA161-F650-EFE6-A0E4-1D0D125494E9}"/>
                </a:ext>
              </a:extLst>
            </xdr:cNvPr>
            <xdr:cNvGraphicFramePr/>
          </xdr:nvGraphicFramePr>
          <xdr:xfrm>
            <a:off x="0" y="0"/>
            <a:ext cx="0" cy="0"/>
          </xdr:xfrm>
          <a:graphic>
            <a:graphicData uri="http://schemas.microsoft.com/office/drawing/2010/slicer">
              <sle:slicer xmlns:sle="http://schemas.microsoft.com/office/drawing/2010/slicer" name="Routes"/>
            </a:graphicData>
          </a:graphic>
        </xdr:graphicFrame>
      </mc:Choice>
      <mc:Fallback>
        <xdr:sp macro="" textlink="">
          <xdr:nvSpPr>
            <xdr:cNvPr id="0" name=""/>
            <xdr:cNvSpPr>
              <a:spLocks noTextEdit="1"/>
            </xdr:cNvSpPr>
          </xdr:nvSpPr>
          <xdr:spPr>
            <a:xfrm>
              <a:off x="11463867" y="1363134"/>
              <a:ext cx="18288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505461</xdr:colOff>
      <xdr:row>12</xdr:row>
      <xdr:rowOff>10161</xdr:rowOff>
    </xdr:from>
    <xdr:to>
      <xdr:col>21</xdr:col>
      <xdr:colOff>505461</xdr:colOff>
      <xdr:row>18</xdr:row>
      <xdr:rowOff>0</xdr:rowOff>
    </xdr:to>
    <mc:AlternateContent xmlns:mc="http://schemas.openxmlformats.org/markup-compatibility/2006">
      <mc:Choice xmlns:a14="http://schemas.microsoft.com/office/drawing/2010/main" Requires="a14">
        <xdr:graphicFrame macro="">
          <xdr:nvGraphicFramePr>
            <xdr:cNvPr id="16" name="Delivery Status">
              <a:extLst>
                <a:ext uri="{FF2B5EF4-FFF2-40B4-BE49-F238E27FC236}">
                  <a16:creationId xmlns:a16="http://schemas.microsoft.com/office/drawing/2014/main" id="{61C9D298-5AA8-29B8-3A0E-D680D713F1D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11478261" y="2465494"/>
              <a:ext cx="1828800" cy="1107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67733</xdr:colOff>
      <xdr:row>18</xdr:row>
      <xdr:rowOff>0</xdr:rowOff>
    </xdr:from>
    <xdr:to>
      <xdr:col>21</xdr:col>
      <xdr:colOff>347133</xdr:colOff>
      <xdr:row>28</xdr:row>
      <xdr:rowOff>59267</xdr:rowOff>
    </xdr:to>
    <xdr:graphicFrame macro="">
      <xdr:nvGraphicFramePr>
        <xdr:cNvPr id="17" name="Chart 16">
          <a:extLst>
            <a:ext uri="{FF2B5EF4-FFF2-40B4-BE49-F238E27FC236}">
              <a16:creationId xmlns:a16="http://schemas.microsoft.com/office/drawing/2014/main" id="{86AD5384-2B0F-45F9-9A54-120AD8F66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a Kumari" refreshedDate="46162.058698263892" createdVersion="8" refreshedVersion="8" minRefreshableVersion="3" recordCount="100" xr:uid="{E461F668-5AC2-4FAA-80F1-569296D1792A}">
  <cacheSource type="worksheet">
    <worksheetSource name="Table1"/>
  </cacheSource>
  <cacheFields count="29">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0">
      <sharedItems containsSemiMixedTypes="0" containsString="0" containsNumber="1" minValue="103.916247960704" maxValue="997.41345013319403"/>
    </cacheField>
    <cacheField name="PO Status" numFmtId="0">
      <sharedItems count="2">
        <s v="Urgent"/>
        <s v="On Track"/>
      </sharedItems>
    </cacheField>
    <cacheField name="Delivery Status" numFmtId="0">
      <sharedItems count="3">
        <s v="Delayed"/>
        <s v="Moderate"/>
        <s v="Fast"/>
      </sharedItems>
    </cacheField>
    <cacheField name="Inventory Risk" numFmtId="0">
      <sharedItems count="3">
        <s v="Low"/>
        <s v="High"/>
        <s v="Medium"/>
      </sharedItems>
    </cacheField>
    <cacheField name="Quality Status" numFmtId="0">
      <sharedItems/>
    </cacheField>
    <cacheField name="Order Priority" numFmtId="0">
      <sharedItems/>
    </cacheField>
  </cacheFields>
  <extLst>
    <ext xmlns:x14="http://schemas.microsoft.com/office/spreadsheetml/2009/9/main" uri="{725AE2AE-9491-48be-B2B4-4EB974FC3084}">
      <x14:pivotCacheDefinition pivotCacheId="130306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s v="Non-binary"/>
    <n v="58"/>
    <n v="7"/>
    <n v="96"/>
    <n v="4"/>
    <s v="Carrier B"/>
    <n v="2.9565721394308002"/>
    <x v="0"/>
    <x v="0"/>
    <n v="29"/>
    <n v="215"/>
    <n v="29"/>
    <n v="46.279879240508301"/>
    <s v="Pending"/>
    <n v="0.226410360849925"/>
    <x v="0"/>
    <x v="0"/>
    <n v="187.75207545920301"/>
    <x v="0"/>
    <x v="0"/>
    <x v="0"/>
    <s v="Review Required"/>
    <s v="Normal"/>
  </r>
  <r>
    <x v="1"/>
    <s v="SKU1"/>
    <n v="14.8435232750843"/>
    <n v="95"/>
    <n v="736"/>
    <n v="7460.9000654458396"/>
    <s v="Female"/>
    <n v="53"/>
    <n v="30"/>
    <n v="37"/>
    <n v="2"/>
    <s v="Carrier A"/>
    <n v="9.7165747714313095"/>
    <x v="0"/>
    <x v="0"/>
    <n v="23"/>
    <n v="517"/>
    <n v="30"/>
    <n v="33.616768953730002"/>
    <s v="Pending"/>
    <n v="4.8540680263886999"/>
    <x v="0"/>
    <x v="0"/>
    <n v="503.06557914966902"/>
    <x v="1"/>
    <x v="0"/>
    <x v="0"/>
    <s v="Review Required"/>
    <s v="Normal"/>
  </r>
  <r>
    <x v="0"/>
    <s v="SKU2"/>
    <n v="11.319683293090501"/>
    <n v="34"/>
    <n v="8"/>
    <n v="9577.7496258687297"/>
    <s v="Unknown"/>
    <n v="1"/>
    <n v="10"/>
    <n v="88"/>
    <n v="2"/>
    <s v="Carrier B"/>
    <n v="8.0544792617321495"/>
    <x v="1"/>
    <x v="0"/>
    <n v="12"/>
    <n v="971"/>
    <n v="27"/>
    <n v="30.6880193482842"/>
    <s v="Pending"/>
    <n v="4.5805926191992201"/>
    <x v="1"/>
    <x v="1"/>
    <n v="141.920281771519"/>
    <x v="0"/>
    <x v="1"/>
    <x v="1"/>
    <s v="Review Required"/>
    <s v="Normal"/>
  </r>
  <r>
    <x v="1"/>
    <s v="SKU3"/>
    <n v="61.1633430164377"/>
    <n v="68"/>
    <n v="83"/>
    <n v="7766.8364256852301"/>
    <s v="Non-binary"/>
    <n v="23"/>
    <n v="13"/>
    <n v="59"/>
    <n v="6"/>
    <s v="Carrier C"/>
    <n v="1.7295685635434199"/>
    <x v="2"/>
    <x v="1"/>
    <n v="24"/>
    <n v="937"/>
    <n v="18"/>
    <n v="35.624741397125"/>
    <s v="Fail"/>
    <n v="4.7466486206477496"/>
    <x v="2"/>
    <x v="2"/>
    <n v="254.776159219286"/>
    <x v="0"/>
    <x v="0"/>
    <x v="2"/>
    <s v="Review Required"/>
    <s v="Normal"/>
  </r>
  <r>
    <x v="1"/>
    <s v="SKU4"/>
    <n v="4.8054960363458896"/>
    <n v="26"/>
    <n v="871"/>
    <n v="2686.50515156744"/>
    <s v="Non-binary"/>
    <n v="5"/>
    <n v="3"/>
    <n v="56"/>
    <n v="8"/>
    <s v="Carrier A"/>
    <n v="3.8905479158706702"/>
    <x v="1"/>
    <x v="2"/>
    <n v="5"/>
    <n v="414"/>
    <n v="3"/>
    <n v="92.065160598712794"/>
    <s v="Fail"/>
    <n v="3.1455795228330001"/>
    <x v="1"/>
    <x v="2"/>
    <n v="923.44063171192204"/>
    <x v="0"/>
    <x v="2"/>
    <x v="1"/>
    <s v="Review Required"/>
    <s v="Normal"/>
  </r>
  <r>
    <x v="0"/>
    <s v="SKU5"/>
    <n v="1.6999760138659299"/>
    <n v="87"/>
    <n v="147"/>
    <n v="2828.3487459757498"/>
    <s v="Non-binary"/>
    <n v="90"/>
    <n v="27"/>
    <n v="66"/>
    <n v="3"/>
    <s v="Carrier B"/>
    <n v="4.4440988643822896"/>
    <x v="3"/>
    <x v="3"/>
    <n v="10"/>
    <n v="104"/>
    <n v="17"/>
    <n v="56.766475557431797"/>
    <s v="Fail"/>
    <n v="2.7791935115711599"/>
    <x v="0"/>
    <x v="2"/>
    <n v="235.461236735537"/>
    <x v="1"/>
    <x v="1"/>
    <x v="0"/>
    <s v="Review Required"/>
    <s v="Normal"/>
  </r>
  <r>
    <x v="1"/>
    <s v="SKU6"/>
    <n v="4.0783328631079403"/>
    <n v="48"/>
    <n v="65"/>
    <n v="7823.4765595317303"/>
    <s v="Male"/>
    <n v="11"/>
    <n v="15"/>
    <n v="58"/>
    <n v="8"/>
    <s v="Carrier C"/>
    <n v="3.8807633029519999"/>
    <x v="0"/>
    <x v="1"/>
    <n v="14"/>
    <n v="314"/>
    <n v="24"/>
    <n v="1.0850685695870601"/>
    <s v="Pending"/>
    <n v="1.0009106193041299"/>
    <x v="3"/>
    <x v="2"/>
    <n v="134.36909686103101"/>
    <x v="0"/>
    <x v="1"/>
    <x v="1"/>
    <s v="Review Required"/>
    <s v="Normal"/>
  </r>
  <r>
    <x v="2"/>
    <s v="SKU7"/>
    <n v="42.958384382459997"/>
    <n v="59"/>
    <n v="426"/>
    <n v="8496.1038130898305"/>
    <s v="Female"/>
    <n v="93"/>
    <n v="17"/>
    <n v="11"/>
    <n v="1"/>
    <s v="Carrier B"/>
    <n v="2.3483387844177801"/>
    <x v="3"/>
    <x v="3"/>
    <n v="22"/>
    <n v="564"/>
    <n v="1"/>
    <n v="99.466108603599096"/>
    <s v="Fail"/>
    <n v="0.39817718685065001"/>
    <x v="0"/>
    <x v="1"/>
    <n v="802.05631181755803"/>
    <x v="1"/>
    <x v="0"/>
    <x v="0"/>
    <s v="Review Required"/>
    <s v="Normal"/>
  </r>
  <r>
    <x v="2"/>
    <s v="SKU8"/>
    <n v="68.717596748527299"/>
    <n v="78"/>
    <n v="150"/>
    <n v="7517.3632106311197"/>
    <s v="Female"/>
    <n v="5"/>
    <n v="10"/>
    <n v="15"/>
    <n v="7"/>
    <s v="Carrier C"/>
    <n v="3.4047338570830199"/>
    <x v="3"/>
    <x v="0"/>
    <n v="13"/>
    <n v="769"/>
    <n v="8"/>
    <n v="11.423027139565599"/>
    <s v="Pending"/>
    <n v="2.7098626911099601"/>
    <x v="3"/>
    <x v="0"/>
    <n v="505.55713422546398"/>
    <x v="0"/>
    <x v="1"/>
    <x v="1"/>
    <s v="Review Required"/>
    <s v="Normal"/>
  </r>
  <r>
    <x v="1"/>
    <s v="SKU9"/>
    <n v="64.0157329412785"/>
    <n v="35"/>
    <n v="980"/>
    <n v="4971.1459875855498"/>
    <s v="Unknown"/>
    <n v="14"/>
    <n v="27"/>
    <n v="83"/>
    <n v="1"/>
    <s v="Carrier A"/>
    <n v="7.1666452910482104"/>
    <x v="4"/>
    <x v="4"/>
    <n v="29"/>
    <n v="963"/>
    <n v="23"/>
    <n v="47.957601634951502"/>
    <s v="Pending"/>
    <n v="3.8446144787675798"/>
    <x v="2"/>
    <x v="0"/>
    <n v="995.92946149864099"/>
    <x v="0"/>
    <x v="0"/>
    <x v="1"/>
    <s v="Review Required"/>
    <s v="Normal"/>
  </r>
  <r>
    <x v="1"/>
    <s v="SKU10"/>
    <n v="15.707795681912099"/>
    <n v="11"/>
    <n v="996"/>
    <n v="2330.9658020919401"/>
    <s v="Non-binary"/>
    <n v="51"/>
    <n v="13"/>
    <n v="80"/>
    <n v="2"/>
    <s v="Carrier C"/>
    <n v="8.6732112112786108"/>
    <x v="2"/>
    <x v="1"/>
    <n v="18"/>
    <n v="830"/>
    <n v="5"/>
    <n v="96.527352785310896"/>
    <s v="Pass"/>
    <n v="1.72731392835594"/>
    <x v="0"/>
    <x v="0"/>
    <n v="806.10317770292295"/>
    <x v="0"/>
    <x v="1"/>
    <x v="0"/>
    <s v="Approved"/>
    <s v="Normal"/>
  </r>
  <r>
    <x v="1"/>
    <s v="SKU11"/>
    <n v="90.635459982288594"/>
    <n v="95"/>
    <n v="960"/>
    <n v="6099.9441155814502"/>
    <s v="Female"/>
    <n v="46"/>
    <n v="23"/>
    <n v="60"/>
    <n v="1"/>
    <s v="Carrier A"/>
    <n v="4.5239431243166601"/>
    <x v="4"/>
    <x v="1"/>
    <n v="28"/>
    <n v="362"/>
    <n v="11"/>
    <n v="27.5923630866636"/>
    <s v="Pending"/>
    <n v="2.1169821372994301E-2"/>
    <x v="1"/>
    <x v="2"/>
    <n v="126.72303340940699"/>
    <x v="0"/>
    <x v="0"/>
    <x v="2"/>
    <s v="Review Required"/>
    <s v="Normal"/>
  </r>
  <r>
    <x v="0"/>
    <s v="SKU12"/>
    <n v="71.213389075359999"/>
    <n v="41"/>
    <n v="336"/>
    <n v="2873.74144602144"/>
    <s v="Unknown"/>
    <n v="100"/>
    <n v="30"/>
    <n v="85"/>
    <n v="4"/>
    <s v="Carrier A"/>
    <n v="1.32527401018452"/>
    <x v="3"/>
    <x v="1"/>
    <n v="3"/>
    <n v="563"/>
    <n v="3"/>
    <n v="32.321286213424003"/>
    <s v="Fail"/>
    <n v="2.1612537475559099"/>
    <x v="0"/>
    <x v="0"/>
    <n v="402.96878907376998"/>
    <x v="1"/>
    <x v="2"/>
    <x v="0"/>
    <s v="Review Required"/>
    <s v="Normal"/>
  </r>
  <r>
    <x v="1"/>
    <s v="SKU13"/>
    <n v="16.160393317379899"/>
    <n v="5"/>
    <n v="249"/>
    <n v="4052.7384162378598"/>
    <s v="Male"/>
    <n v="80"/>
    <n v="8"/>
    <n v="48"/>
    <n v="9"/>
    <s v="Carrier A"/>
    <n v="9.5372830611083295"/>
    <x v="2"/>
    <x v="3"/>
    <n v="23"/>
    <n v="173"/>
    <n v="10"/>
    <n v="97.829050110173199"/>
    <s v="Pending"/>
    <n v="1.63107423007153"/>
    <x v="0"/>
    <x v="0"/>
    <n v="547.24100516096803"/>
    <x v="1"/>
    <x v="0"/>
    <x v="0"/>
    <s v="Review Required"/>
    <s v="Normal"/>
  </r>
  <r>
    <x v="1"/>
    <s v="SKU14"/>
    <n v="99.171328638624104"/>
    <n v="26"/>
    <n v="562"/>
    <n v="8653.5709264697998"/>
    <s v="Non-binary"/>
    <n v="54"/>
    <n v="29"/>
    <n v="78"/>
    <n v="5"/>
    <s v="Carrier B"/>
    <n v="2.0397701894493299"/>
    <x v="1"/>
    <x v="1"/>
    <n v="25"/>
    <n v="558"/>
    <n v="14"/>
    <n v="5.7914366298629796"/>
    <s v="Pending"/>
    <n v="0.100682851565093"/>
    <x v="1"/>
    <x v="0"/>
    <n v="929.23528996088896"/>
    <x v="0"/>
    <x v="0"/>
    <x v="0"/>
    <s v="Review Required"/>
    <s v="Normal"/>
  </r>
  <r>
    <x v="1"/>
    <s v="SKU15"/>
    <n v="36.989244928626903"/>
    <n v="94"/>
    <n v="469"/>
    <n v="5442.0867853976697"/>
    <s v="Non-binary"/>
    <n v="9"/>
    <n v="8"/>
    <n v="69"/>
    <n v="7"/>
    <s v="Carrier B"/>
    <n v="2.4220397232752"/>
    <x v="1"/>
    <x v="3"/>
    <n v="14"/>
    <n v="580"/>
    <n v="7"/>
    <n v="97.121281751474299"/>
    <s v="Pass"/>
    <n v="2.2644057611985402"/>
    <x v="3"/>
    <x v="0"/>
    <n v="127.861800001625"/>
    <x v="0"/>
    <x v="1"/>
    <x v="1"/>
    <s v="Approved"/>
    <s v="Normal"/>
  </r>
  <r>
    <x v="1"/>
    <s v="SKU16"/>
    <n v="7.5471721097912701"/>
    <n v="74"/>
    <n v="280"/>
    <n v="6453.7979681762799"/>
    <s v="Female"/>
    <n v="2"/>
    <n v="5"/>
    <n v="78"/>
    <n v="1"/>
    <s v="Carrier B"/>
    <n v="4.1913245857054999"/>
    <x v="1"/>
    <x v="3"/>
    <n v="3"/>
    <n v="399"/>
    <n v="21"/>
    <n v="77.106342497849994"/>
    <s v="Pass"/>
    <n v="1.01256308925804"/>
    <x v="1"/>
    <x v="2"/>
    <n v="865.52577977123997"/>
    <x v="0"/>
    <x v="2"/>
    <x v="1"/>
    <s v="Approved"/>
    <s v="Normal"/>
  </r>
  <r>
    <x v="2"/>
    <s v="SKU17"/>
    <n v="81.462534369237005"/>
    <n v="82"/>
    <n v="126"/>
    <n v="2629.39643484526"/>
    <s v="Female"/>
    <n v="45"/>
    <n v="17"/>
    <n v="85"/>
    <n v="9"/>
    <s v="Carrier C"/>
    <n v="3.5854189582323399"/>
    <x v="1"/>
    <x v="4"/>
    <n v="7"/>
    <n v="453"/>
    <n v="16"/>
    <n v="47.679680368355299"/>
    <s v="Fail"/>
    <n v="0.102020754918176"/>
    <x v="1"/>
    <x v="1"/>
    <n v="670.93439079241"/>
    <x v="0"/>
    <x v="2"/>
    <x v="2"/>
    <s v="Review Required"/>
    <s v="Normal"/>
  </r>
  <r>
    <x v="0"/>
    <s v="SKU18"/>
    <n v="36.4436277704609"/>
    <n v="23"/>
    <n v="620"/>
    <n v="9364.6735050761708"/>
    <s v="Unknown"/>
    <n v="10"/>
    <n v="10"/>
    <n v="46"/>
    <n v="8"/>
    <s v="Carrier C"/>
    <n v="4.3392247141107001"/>
    <x v="4"/>
    <x v="1"/>
    <n v="18"/>
    <n v="374"/>
    <n v="17"/>
    <n v="27.107980854843898"/>
    <s v="Pending"/>
    <n v="2.2319391107292601"/>
    <x v="3"/>
    <x v="2"/>
    <n v="593.48025872065102"/>
    <x v="0"/>
    <x v="1"/>
    <x v="1"/>
    <s v="Review Required"/>
    <s v="Normal"/>
  </r>
  <r>
    <x v="1"/>
    <s v="SKU19"/>
    <n v="51.123870087964697"/>
    <n v="100"/>
    <n v="187"/>
    <n v="2553.4955849912099"/>
    <s v="Unknown"/>
    <n v="48"/>
    <n v="11"/>
    <n v="94"/>
    <n v="3"/>
    <s v="Carrier A"/>
    <n v="4.7426358828418698"/>
    <x v="3"/>
    <x v="4"/>
    <n v="20"/>
    <n v="694"/>
    <n v="16"/>
    <n v="82.373320587990193"/>
    <s v="Fail"/>
    <n v="3.64645086541702"/>
    <x v="0"/>
    <x v="1"/>
    <n v="477.30763109090299"/>
    <x v="0"/>
    <x v="1"/>
    <x v="2"/>
    <s v="Review Required"/>
    <s v="Normal"/>
  </r>
  <r>
    <x v="1"/>
    <s v="SKU20"/>
    <n v="96.341072439963298"/>
    <n v="22"/>
    <n v="320"/>
    <n v="8128.0276968511898"/>
    <s v="Unknown"/>
    <n v="27"/>
    <n v="12"/>
    <n v="68"/>
    <n v="6"/>
    <s v="Carrier A"/>
    <n v="8.8783346509268402"/>
    <x v="1"/>
    <x v="4"/>
    <n v="29"/>
    <n v="309"/>
    <n v="6"/>
    <n v="65.686259608488598"/>
    <s v="Pass"/>
    <n v="4.2314165735345304"/>
    <x v="1"/>
    <x v="0"/>
    <n v="493.871215316205"/>
    <x v="0"/>
    <x v="0"/>
    <x v="2"/>
    <s v="Approved"/>
    <s v="Normal"/>
  </r>
  <r>
    <x v="2"/>
    <s v="SKU21"/>
    <n v="84.893868984950799"/>
    <n v="60"/>
    <n v="601"/>
    <n v="7087.0526963574302"/>
    <s v="Unknown"/>
    <n v="69"/>
    <n v="25"/>
    <n v="7"/>
    <n v="6"/>
    <s v="Carrier B"/>
    <n v="6.0378837692182898"/>
    <x v="2"/>
    <x v="4"/>
    <n v="19"/>
    <n v="791"/>
    <n v="4"/>
    <n v="61.735728954160898"/>
    <s v="Pending"/>
    <n v="1.8607567631014899E-2"/>
    <x v="1"/>
    <x v="1"/>
    <n v="523.36091472015801"/>
    <x v="1"/>
    <x v="1"/>
    <x v="0"/>
    <s v="Review Required"/>
    <s v="Normal"/>
  </r>
  <r>
    <x v="0"/>
    <s v="SKU22"/>
    <n v="27.679780886501899"/>
    <n v="55"/>
    <n v="884"/>
    <n v="2390.8078665561702"/>
    <s v="Unknown"/>
    <n v="71"/>
    <n v="1"/>
    <n v="63"/>
    <n v="10"/>
    <s v="Carrier A"/>
    <n v="9.5676489209230393"/>
    <x v="3"/>
    <x v="1"/>
    <n v="22"/>
    <n v="780"/>
    <n v="28"/>
    <n v="50.120839612977299"/>
    <s v="Fail"/>
    <n v="2.5912754732111098"/>
    <x v="2"/>
    <x v="1"/>
    <n v="205.57199582694699"/>
    <x v="1"/>
    <x v="0"/>
    <x v="0"/>
    <s v="Review Required"/>
    <s v="Normal"/>
  </r>
  <r>
    <x v="2"/>
    <s v="SKU23"/>
    <n v="4.3243411858641601"/>
    <n v="30"/>
    <n v="391"/>
    <n v="8858.3675710114803"/>
    <s v="Unknown"/>
    <n v="84"/>
    <n v="5"/>
    <n v="29"/>
    <n v="7"/>
    <s v="Carrier A"/>
    <n v="2.92485760114555"/>
    <x v="2"/>
    <x v="1"/>
    <n v="11"/>
    <n v="568"/>
    <n v="29"/>
    <n v="98.6099572427038"/>
    <s v="Pending"/>
    <n v="1.3422915627227301"/>
    <x v="2"/>
    <x v="2"/>
    <n v="196.329446112412"/>
    <x v="1"/>
    <x v="1"/>
    <x v="0"/>
    <s v="Review Required"/>
    <s v="Normal"/>
  </r>
  <r>
    <x v="0"/>
    <s v="SKU24"/>
    <n v="4.1563083593111001"/>
    <n v="32"/>
    <n v="209"/>
    <n v="9049.0778609398894"/>
    <s v="Male"/>
    <n v="4"/>
    <n v="26"/>
    <n v="2"/>
    <n v="8"/>
    <s v="Carrier C"/>
    <n v="9.7412916892843597"/>
    <x v="4"/>
    <x v="3"/>
    <n v="28"/>
    <n v="447"/>
    <n v="3"/>
    <n v="40.382359702924802"/>
    <s v="Pending"/>
    <n v="3.69131029262872"/>
    <x v="1"/>
    <x v="2"/>
    <n v="758.72477260293795"/>
    <x v="1"/>
    <x v="0"/>
    <x v="1"/>
    <s v="Review Required"/>
    <s v="Normal"/>
  </r>
  <r>
    <x v="0"/>
    <s v="SKU25"/>
    <n v="39.629343985092603"/>
    <n v="73"/>
    <n v="142"/>
    <n v="2174.7770543506499"/>
    <s v="Male"/>
    <n v="82"/>
    <n v="11"/>
    <n v="52"/>
    <n v="3"/>
    <s v="Carrier C"/>
    <n v="2.2310736812817198"/>
    <x v="3"/>
    <x v="1"/>
    <n v="19"/>
    <n v="934"/>
    <n v="23"/>
    <n v="78.280383118415301"/>
    <s v="Pending"/>
    <n v="3.79723121711418"/>
    <x v="0"/>
    <x v="0"/>
    <n v="458.53594573920901"/>
    <x v="1"/>
    <x v="1"/>
    <x v="0"/>
    <s v="Review Required"/>
    <s v="Normal"/>
  </r>
  <r>
    <x v="0"/>
    <s v="SKU26"/>
    <n v="97.446946617892806"/>
    <n v="9"/>
    <n v="353"/>
    <n v="3716.49332589403"/>
    <s v="Male"/>
    <n v="59"/>
    <n v="16"/>
    <n v="48"/>
    <n v="4"/>
    <s v="Carrier B"/>
    <n v="6.5075486210785503"/>
    <x v="4"/>
    <x v="3"/>
    <n v="26"/>
    <n v="171"/>
    <n v="4"/>
    <n v="15.972229757181699"/>
    <s v="Pass"/>
    <n v="2.1193197367249201"/>
    <x v="2"/>
    <x v="2"/>
    <n v="617.86691645837698"/>
    <x v="1"/>
    <x v="0"/>
    <x v="0"/>
    <s v="Approved"/>
    <s v="Normal"/>
  </r>
  <r>
    <x v="2"/>
    <s v="SKU27"/>
    <n v="92.557360812401996"/>
    <n v="42"/>
    <n v="352"/>
    <n v="2686.4572235759802"/>
    <s v="Unknown"/>
    <n v="47"/>
    <n v="9"/>
    <n v="62"/>
    <n v="8"/>
    <s v="Carrier C"/>
    <n v="7.4067509529980704"/>
    <x v="2"/>
    <x v="0"/>
    <n v="25"/>
    <n v="291"/>
    <n v="4"/>
    <n v="10.5282450700421"/>
    <s v="Fail"/>
    <n v="2.8646678378833701"/>
    <x v="3"/>
    <x v="0"/>
    <n v="762.45918215568304"/>
    <x v="0"/>
    <x v="0"/>
    <x v="2"/>
    <s v="Review Required"/>
    <s v="Normal"/>
  </r>
  <r>
    <x v="2"/>
    <s v="SKU28"/>
    <n v="2.3972747055971402"/>
    <n v="12"/>
    <n v="394"/>
    <n v="6117.3246150839896"/>
    <s v="Female"/>
    <n v="48"/>
    <n v="15"/>
    <n v="24"/>
    <n v="4"/>
    <s v="Carrier B"/>
    <n v="9.8981405080692202"/>
    <x v="1"/>
    <x v="0"/>
    <n v="13"/>
    <n v="171"/>
    <n v="7"/>
    <n v="59.429381810691503"/>
    <s v="Fail"/>
    <n v="0.81575707929567198"/>
    <x v="1"/>
    <x v="2"/>
    <n v="123.437027511827"/>
    <x v="1"/>
    <x v="1"/>
    <x v="2"/>
    <s v="Review Required"/>
    <s v="Normal"/>
  </r>
  <r>
    <x v="2"/>
    <s v="SKU29"/>
    <n v="63.447559185207297"/>
    <n v="3"/>
    <n v="253"/>
    <n v="8318.9031946171708"/>
    <s v="Female"/>
    <n v="45"/>
    <n v="5"/>
    <n v="67"/>
    <n v="7"/>
    <s v="Carrier B"/>
    <n v="8.1009731453970293"/>
    <x v="1"/>
    <x v="1"/>
    <n v="16"/>
    <n v="329"/>
    <n v="7"/>
    <n v="39.292875586065698"/>
    <s v="Pass"/>
    <n v="3.8780989365884802"/>
    <x v="0"/>
    <x v="0"/>
    <n v="764.93537594070801"/>
    <x v="0"/>
    <x v="1"/>
    <x v="2"/>
    <s v="Approved"/>
    <s v="Normal"/>
  </r>
  <r>
    <x v="0"/>
    <s v="SKU30"/>
    <n v="8.0228592105263896"/>
    <n v="10"/>
    <n v="327"/>
    <n v="2766.3423668660798"/>
    <s v="Male"/>
    <n v="60"/>
    <n v="26"/>
    <n v="35"/>
    <n v="7"/>
    <s v="Carrier B"/>
    <n v="8.9545283153180097"/>
    <x v="3"/>
    <x v="1"/>
    <n v="27"/>
    <n v="806"/>
    <n v="30"/>
    <n v="51.634893400109299"/>
    <s v="Pending"/>
    <n v="0.96539470535239302"/>
    <x v="0"/>
    <x v="1"/>
    <n v="880.08098824716103"/>
    <x v="1"/>
    <x v="0"/>
    <x v="0"/>
    <s v="Review Required"/>
    <s v="Normal"/>
  </r>
  <r>
    <x v="1"/>
    <s v="SKU31"/>
    <n v="50.847393051718697"/>
    <n v="28"/>
    <n v="168"/>
    <n v="9655.1351027193905"/>
    <s v="Male"/>
    <n v="6"/>
    <n v="17"/>
    <n v="44"/>
    <n v="4"/>
    <s v="Carrier B"/>
    <n v="2.6796609649813998"/>
    <x v="0"/>
    <x v="4"/>
    <n v="24"/>
    <n v="461"/>
    <n v="8"/>
    <n v="60.251145661598002"/>
    <s v="Pending"/>
    <n v="2.9890000066550702"/>
    <x v="2"/>
    <x v="1"/>
    <n v="609.379206618426"/>
    <x v="0"/>
    <x v="0"/>
    <x v="1"/>
    <s v="Review Required"/>
    <s v="Normal"/>
  </r>
  <r>
    <x v="1"/>
    <s v="SKU32"/>
    <n v="79.209936015656695"/>
    <n v="43"/>
    <n v="781"/>
    <n v="9571.5504873278096"/>
    <s v="Unknown"/>
    <n v="89"/>
    <n v="13"/>
    <n v="64"/>
    <n v="4"/>
    <s v="Carrier C"/>
    <n v="6.5991049012385803"/>
    <x v="0"/>
    <x v="1"/>
    <n v="30"/>
    <n v="737"/>
    <n v="7"/>
    <n v="29.6924671537497"/>
    <s v="Pass"/>
    <n v="1.94603611938611"/>
    <x v="0"/>
    <x v="2"/>
    <n v="761.17390951487698"/>
    <x v="1"/>
    <x v="0"/>
    <x v="0"/>
    <s v="Approved"/>
    <s v="Normal"/>
  </r>
  <r>
    <x v="2"/>
    <s v="SKU33"/>
    <n v="64.795435000155607"/>
    <n v="63"/>
    <n v="616"/>
    <n v="5149.9983504080301"/>
    <s v="Non-binary"/>
    <n v="4"/>
    <n v="17"/>
    <n v="95"/>
    <n v="9"/>
    <s v="Carrier C"/>
    <n v="4.85827050343664"/>
    <x v="2"/>
    <x v="4"/>
    <n v="1"/>
    <n v="251"/>
    <n v="23"/>
    <n v="23.853427512896101"/>
    <s v="Fail"/>
    <n v="3.54104601225092"/>
    <x v="3"/>
    <x v="2"/>
    <n v="371.25529551987103"/>
    <x v="0"/>
    <x v="2"/>
    <x v="1"/>
    <s v="Review Required"/>
    <s v="Normal"/>
  </r>
  <r>
    <x v="1"/>
    <s v="SKU34"/>
    <n v="37.467592329842397"/>
    <n v="96"/>
    <n v="602"/>
    <n v="9061.7108955077201"/>
    <s v="Unknown"/>
    <n v="1"/>
    <n v="26"/>
    <n v="21"/>
    <n v="7"/>
    <s v="Carrier A"/>
    <n v="1.0194875708221101"/>
    <x v="1"/>
    <x v="4"/>
    <n v="4"/>
    <n v="452"/>
    <n v="10"/>
    <n v="10.754272815029299"/>
    <s v="Pass"/>
    <n v="0.64660455937205397"/>
    <x v="0"/>
    <x v="0"/>
    <n v="510.35800043352299"/>
    <x v="0"/>
    <x v="2"/>
    <x v="1"/>
    <s v="Approved"/>
    <s v="Normal"/>
  </r>
  <r>
    <x v="2"/>
    <s v="SKU35"/>
    <n v="84.957786816350406"/>
    <n v="11"/>
    <n v="449"/>
    <n v="6541.3293448024597"/>
    <s v="Female"/>
    <n v="42"/>
    <n v="27"/>
    <n v="85"/>
    <n v="8"/>
    <s v="Carrier C"/>
    <n v="5.2881899903273997"/>
    <x v="1"/>
    <x v="2"/>
    <n v="3"/>
    <n v="367"/>
    <n v="2"/>
    <n v="58.004787044743701"/>
    <s v="Pass"/>
    <n v="0.54115409806058101"/>
    <x v="3"/>
    <x v="1"/>
    <n v="553.42047123035502"/>
    <x v="0"/>
    <x v="2"/>
    <x v="2"/>
    <s v="Approved"/>
    <s v="Normal"/>
  </r>
  <r>
    <x v="1"/>
    <s v="SKU36"/>
    <n v="9.81300257875405"/>
    <n v="34"/>
    <n v="963"/>
    <n v="7573.4024578487297"/>
    <s v="Female"/>
    <n v="18"/>
    <n v="23"/>
    <n v="28"/>
    <n v="3"/>
    <s v="Carrier B"/>
    <n v="2.1079512671590801"/>
    <x v="4"/>
    <x v="2"/>
    <n v="26"/>
    <n v="671"/>
    <n v="19"/>
    <n v="45.531364237162101"/>
    <s v="Fail"/>
    <n v="3.8055333792433501"/>
    <x v="1"/>
    <x v="1"/>
    <n v="403.80897424817999"/>
    <x v="0"/>
    <x v="0"/>
    <x v="1"/>
    <s v="Review Required"/>
    <s v="Normal"/>
  </r>
  <r>
    <x v="1"/>
    <s v="SKU37"/>
    <n v="23.3998447526143"/>
    <n v="5"/>
    <n v="963"/>
    <n v="2438.3399304700201"/>
    <s v="Female"/>
    <n v="25"/>
    <n v="8"/>
    <n v="21"/>
    <n v="9"/>
    <s v="Carrier A"/>
    <n v="1.53265527359043"/>
    <x v="0"/>
    <x v="1"/>
    <n v="24"/>
    <n v="867"/>
    <n v="15"/>
    <n v="34.343277465075303"/>
    <s v="Pending"/>
    <n v="2.61028808484811"/>
    <x v="3"/>
    <x v="2"/>
    <n v="183.932968043594"/>
    <x v="1"/>
    <x v="0"/>
    <x v="2"/>
    <s v="Review Required"/>
    <s v="Normal"/>
  </r>
  <r>
    <x v="2"/>
    <s v="SKU38"/>
    <n v="52.075930682707799"/>
    <n v="75"/>
    <n v="705"/>
    <n v="9692.3180402184298"/>
    <s v="Non-binary"/>
    <n v="69"/>
    <n v="1"/>
    <n v="88"/>
    <n v="5"/>
    <s v="Carrier B"/>
    <n v="9.2359314372492207"/>
    <x v="2"/>
    <x v="0"/>
    <n v="10"/>
    <n v="841"/>
    <n v="12"/>
    <n v="5.9306936455283097"/>
    <s v="Pending"/>
    <n v="0.613326899164507"/>
    <x v="1"/>
    <x v="0"/>
    <n v="339.67286994860598"/>
    <x v="0"/>
    <x v="1"/>
    <x v="0"/>
    <s v="Review Required"/>
    <s v="Normal"/>
  </r>
  <r>
    <x v="1"/>
    <s v="SKU39"/>
    <n v="19.127477265823199"/>
    <n v="26"/>
    <n v="176"/>
    <n v="1912.4656631007599"/>
    <s v="Female"/>
    <n v="78"/>
    <n v="29"/>
    <n v="34"/>
    <n v="3"/>
    <s v="Carrier A"/>
    <n v="5.5625037788303802"/>
    <x v="4"/>
    <x v="1"/>
    <n v="30"/>
    <n v="791"/>
    <n v="6"/>
    <n v="9.0058074287816403"/>
    <s v="Fail"/>
    <n v="1.4519722039968099"/>
    <x v="1"/>
    <x v="0"/>
    <n v="653.67299455203295"/>
    <x v="1"/>
    <x v="0"/>
    <x v="0"/>
    <s v="Review Required"/>
    <s v="Normal"/>
  </r>
  <r>
    <x v="1"/>
    <s v="SKU40"/>
    <n v="80.541424170940303"/>
    <n v="97"/>
    <n v="933"/>
    <n v="5724.9593504562599"/>
    <s v="Female"/>
    <n v="90"/>
    <n v="20"/>
    <n v="39"/>
    <n v="8"/>
    <s v="Carrier C"/>
    <n v="7.2295951397364702"/>
    <x v="1"/>
    <x v="1"/>
    <n v="18"/>
    <n v="793"/>
    <n v="1"/>
    <n v="88.179407104217404"/>
    <s v="Pending"/>
    <n v="4.2132694305865597"/>
    <x v="0"/>
    <x v="2"/>
    <n v="529.80872398069096"/>
    <x v="1"/>
    <x v="1"/>
    <x v="0"/>
    <s v="Review Required"/>
    <s v="Normal"/>
  </r>
  <r>
    <x v="1"/>
    <s v="SKU41"/>
    <n v="99.113291615317095"/>
    <n v="35"/>
    <n v="556"/>
    <n v="5521.2052590109697"/>
    <s v="Female"/>
    <n v="64"/>
    <n v="19"/>
    <n v="38"/>
    <n v="8"/>
    <s v="Carrier B"/>
    <n v="5.7732637437666501"/>
    <x v="3"/>
    <x v="4"/>
    <n v="18"/>
    <n v="892"/>
    <n v="7"/>
    <n v="95.332064548772493"/>
    <s v="Fail"/>
    <n v="4.5302262398259602E-2"/>
    <x v="3"/>
    <x v="2"/>
    <n v="275.52437113130901"/>
    <x v="1"/>
    <x v="1"/>
    <x v="0"/>
    <s v="Review Required"/>
    <s v="Normal"/>
  </r>
  <r>
    <x v="1"/>
    <s v="SKU42"/>
    <n v="46.529167614516702"/>
    <n v="98"/>
    <n v="155"/>
    <n v="1839.60942585676"/>
    <s v="Female"/>
    <n v="22"/>
    <n v="27"/>
    <n v="57"/>
    <n v="4"/>
    <s v="Carrier C"/>
    <n v="7.5262483268515004"/>
    <x v="2"/>
    <x v="3"/>
    <n v="26"/>
    <n v="179"/>
    <n v="7"/>
    <n v="96.422820639571796"/>
    <s v="Fail"/>
    <n v="4.9392552886209398"/>
    <x v="0"/>
    <x v="2"/>
    <n v="635.65712050199102"/>
    <x v="0"/>
    <x v="0"/>
    <x v="2"/>
    <s v="Review Required"/>
    <s v="Normal"/>
  </r>
  <r>
    <x v="0"/>
    <s v="SKU43"/>
    <n v="11.7432717763092"/>
    <n v="6"/>
    <n v="598"/>
    <n v="5737.4255991190203"/>
    <s v="Unknown"/>
    <n v="36"/>
    <n v="29"/>
    <n v="85"/>
    <n v="9"/>
    <s v="Carrier B"/>
    <n v="3.6940212683884499"/>
    <x v="2"/>
    <x v="0"/>
    <n v="1"/>
    <n v="206"/>
    <n v="23"/>
    <n v="26.2773659573324"/>
    <s v="Pending"/>
    <n v="0.37230476798509698"/>
    <x v="1"/>
    <x v="2"/>
    <n v="716.04411975933999"/>
    <x v="0"/>
    <x v="2"/>
    <x v="2"/>
    <s v="Review Required"/>
    <s v="Normal"/>
  </r>
  <r>
    <x v="2"/>
    <s v="SKU44"/>
    <n v="51.355790913110297"/>
    <n v="34"/>
    <n v="919"/>
    <n v="7152.28604943551"/>
    <s v="Female"/>
    <n v="13"/>
    <n v="19"/>
    <n v="72"/>
    <n v="6"/>
    <s v="Carrier C"/>
    <n v="7.5774496573766896"/>
    <x v="4"/>
    <x v="2"/>
    <n v="7"/>
    <n v="834"/>
    <n v="18"/>
    <n v="22.554106620887701"/>
    <s v="Fail"/>
    <n v="2.9626263204548802"/>
    <x v="2"/>
    <x v="2"/>
    <n v="610.45326961922694"/>
    <x v="0"/>
    <x v="2"/>
    <x v="1"/>
    <s v="Review Required"/>
    <s v="Normal"/>
  </r>
  <r>
    <x v="0"/>
    <s v="SKU45"/>
    <n v="33.784138033065503"/>
    <n v="1"/>
    <n v="24"/>
    <n v="5267.9568075105199"/>
    <s v="Male"/>
    <n v="93"/>
    <n v="7"/>
    <n v="52"/>
    <n v="6"/>
    <s v="Carrier B"/>
    <n v="5.2151550087119096"/>
    <x v="4"/>
    <x v="4"/>
    <n v="25"/>
    <n v="794"/>
    <n v="25"/>
    <n v="66.312544439991598"/>
    <s v="Pass"/>
    <n v="3.2196046120841002"/>
    <x v="2"/>
    <x v="2"/>
    <n v="495.30569702847299"/>
    <x v="1"/>
    <x v="0"/>
    <x v="0"/>
    <s v="Approved"/>
    <s v="Normal"/>
  </r>
  <r>
    <x v="0"/>
    <s v="SKU46"/>
    <n v="27.082207199888899"/>
    <n v="75"/>
    <n v="859"/>
    <n v="2556.7673606335902"/>
    <s v="Non-binary"/>
    <n v="92"/>
    <n v="29"/>
    <n v="6"/>
    <n v="8"/>
    <s v="Carrier B"/>
    <n v="4.0709558370840799"/>
    <x v="0"/>
    <x v="4"/>
    <n v="18"/>
    <n v="870"/>
    <n v="23"/>
    <n v="77.322353211051606"/>
    <s v="Pending"/>
    <n v="3.6486105925361998"/>
    <x v="0"/>
    <x v="0"/>
    <n v="380.43593711196399"/>
    <x v="1"/>
    <x v="1"/>
    <x v="0"/>
    <s v="Review Required"/>
    <s v="Normal"/>
  </r>
  <r>
    <x v="1"/>
    <s v="SKU47"/>
    <n v="95.712135880936003"/>
    <n v="93"/>
    <n v="910"/>
    <n v="7089.4742499341801"/>
    <s v="Male"/>
    <n v="4"/>
    <n v="15"/>
    <n v="51"/>
    <n v="9"/>
    <s v="Carrier B"/>
    <n v="8.9787507559499709"/>
    <x v="1"/>
    <x v="1"/>
    <n v="10"/>
    <n v="964"/>
    <n v="20"/>
    <n v="19.7129929112936"/>
    <s v="Pending"/>
    <n v="0.38057358671321301"/>
    <x v="2"/>
    <x v="2"/>
    <n v="581.60235505058597"/>
    <x v="0"/>
    <x v="1"/>
    <x v="1"/>
    <s v="Review Required"/>
    <s v="Normal"/>
  </r>
  <r>
    <x v="0"/>
    <s v="SKU48"/>
    <n v="76.035544426891704"/>
    <n v="28"/>
    <n v="29"/>
    <n v="7397.0710045871801"/>
    <s v="Non-binary"/>
    <n v="30"/>
    <n v="16"/>
    <n v="9"/>
    <n v="3"/>
    <s v="Carrier C"/>
    <n v="7.0958331565551296"/>
    <x v="4"/>
    <x v="0"/>
    <n v="9"/>
    <n v="109"/>
    <n v="18"/>
    <n v="23.126363582464698"/>
    <s v="Fail"/>
    <n v="1.6981125407144"/>
    <x v="2"/>
    <x v="0"/>
    <n v="768.65191395437"/>
    <x v="1"/>
    <x v="2"/>
    <x v="2"/>
    <s v="Review Required"/>
    <s v="Normal"/>
  </r>
  <r>
    <x v="2"/>
    <s v="SKU49"/>
    <n v="78.897913205639995"/>
    <n v="19"/>
    <n v="99"/>
    <n v="8001.6132065190004"/>
    <s v="Unknown"/>
    <n v="97"/>
    <n v="24"/>
    <n v="9"/>
    <n v="6"/>
    <s v="Carrier C"/>
    <n v="2.5056210329009101"/>
    <x v="2"/>
    <x v="2"/>
    <n v="28"/>
    <n v="177"/>
    <n v="28"/>
    <n v="14.1478154439792"/>
    <s v="Pass"/>
    <n v="2.8258139854001301"/>
    <x v="2"/>
    <x v="2"/>
    <n v="336.89016851997701"/>
    <x v="1"/>
    <x v="0"/>
    <x v="0"/>
    <s v="Approved"/>
    <s v="Normal"/>
  </r>
  <r>
    <x v="2"/>
    <s v="SKU50"/>
    <n v="14.203484264803"/>
    <n v="91"/>
    <n v="633"/>
    <n v="5910.8853896688897"/>
    <s v="Female"/>
    <n v="31"/>
    <n v="23"/>
    <n v="82"/>
    <n v="10"/>
    <s v="Carrier A"/>
    <n v="6.2478609149759903"/>
    <x v="4"/>
    <x v="2"/>
    <n v="20"/>
    <n v="306"/>
    <n v="21"/>
    <n v="45.178757924634503"/>
    <s v="Fail"/>
    <n v="4.7548008046711798"/>
    <x v="2"/>
    <x v="0"/>
    <n v="496.24865029194001"/>
    <x v="0"/>
    <x v="1"/>
    <x v="2"/>
    <s v="Review Required"/>
    <s v="Normal"/>
  </r>
  <r>
    <x v="0"/>
    <s v="SKU51"/>
    <n v="26.700760972461701"/>
    <n v="61"/>
    <n v="154"/>
    <n v="9866.4654579796897"/>
    <s v="Male"/>
    <n v="100"/>
    <n v="4"/>
    <n v="52"/>
    <n v="1"/>
    <s v="Carrier A"/>
    <n v="4.78300055794766"/>
    <x v="2"/>
    <x v="3"/>
    <n v="18"/>
    <n v="673"/>
    <n v="28"/>
    <n v="14.190328344569901"/>
    <s v="Pending"/>
    <n v="1.77295117208355"/>
    <x v="0"/>
    <x v="2"/>
    <n v="694.98231757944495"/>
    <x v="1"/>
    <x v="1"/>
    <x v="0"/>
    <s v="Review Required"/>
    <s v="Normal"/>
  </r>
  <r>
    <x v="1"/>
    <s v="SKU52"/>
    <n v="98.031829656465007"/>
    <n v="1"/>
    <n v="820"/>
    <n v="9435.7626089121295"/>
    <s v="Male"/>
    <n v="64"/>
    <n v="11"/>
    <n v="11"/>
    <n v="1"/>
    <s v="Carrier B"/>
    <n v="8.6310521797689397"/>
    <x v="1"/>
    <x v="0"/>
    <n v="10"/>
    <n v="727"/>
    <n v="27"/>
    <n v="9.1668491485971497"/>
    <s v="Pending"/>
    <n v="2.1224716191438202"/>
    <x v="1"/>
    <x v="1"/>
    <n v="602.89849883838303"/>
    <x v="1"/>
    <x v="1"/>
    <x v="0"/>
    <s v="Review Required"/>
    <s v="Normal"/>
  </r>
  <r>
    <x v="1"/>
    <s v="SKU53"/>
    <n v="30.3414707112142"/>
    <n v="93"/>
    <n v="242"/>
    <n v="8232.3348294258194"/>
    <s v="Male"/>
    <n v="96"/>
    <n v="25"/>
    <n v="54"/>
    <n v="3"/>
    <s v="Carrier B"/>
    <n v="1.0134865660958901"/>
    <x v="1"/>
    <x v="2"/>
    <n v="1"/>
    <n v="631"/>
    <n v="17"/>
    <n v="83.344058991677898"/>
    <s v="Pending"/>
    <n v="1.41034757607602"/>
    <x v="1"/>
    <x v="0"/>
    <n v="750.73784066827"/>
    <x v="1"/>
    <x v="2"/>
    <x v="0"/>
    <s v="Review Required"/>
    <s v="Normal"/>
  </r>
  <r>
    <x v="0"/>
    <s v="SKU54"/>
    <n v="31.1462431602408"/>
    <n v="11"/>
    <n v="622"/>
    <n v="6088.0214799408504"/>
    <s v="Non-binary"/>
    <n v="33"/>
    <n v="22"/>
    <n v="61"/>
    <n v="3"/>
    <s v="Carrier B"/>
    <n v="4.3051034712876302"/>
    <x v="1"/>
    <x v="1"/>
    <n v="26"/>
    <n v="497"/>
    <n v="29"/>
    <n v="30.186023375822501"/>
    <s v="Pass"/>
    <n v="2.4787719755397402"/>
    <x v="0"/>
    <x v="0"/>
    <n v="814.06999658218695"/>
    <x v="0"/>
    <x v="0"/>
    <x v="2"/>
    <s v="Approved"/>
    <s v="Normal"/>
  </r>
  <r>
    <x v="0"/>
    <s v="SKU55"/>
    <n v="79.855058340789398"/>
    <n v="16"/>
    <n v="701"/>
    <n v="2925.6751703038099"/>
    <s v="Male"/>
    <n v="97"/>
    <n v="11"/>
    <n v="11"/>
    <n v="5"/>
    <s v="Carrier A"/>
    <n v="5.0143649550309002"/>
    <x v="4"/>
    <x v="2"/>
    <n v="27"/>
    <n v="918"/>
    <n v="5"/>
    <n v="30.323545256616502"/>
    <s v="Fail"/>
    <n v="4.5489196593963799"/>
    <x v="3"/>
    <x v="0"/>
    <n v="323.01292795247798"/>
    <x v="1"/>
    <x v="0"/>
    <x v="0"/>
    <s v="Review Required"/>
    <s v="Normal"/>
  </r>
  <r>
    <x v="1"/>
    <s v="SKU56"/>
    <n v="20.9863860370433"/>
    <n v="90"/>
    <n v="93"/>
    <n v="4767.0204843441297"/>
    <s v="Non-binary"/>
    <n v="25"/>
    <n v="23"/>
    <n v="83"/>
    <n v="5"/>
    <s v="Carrier C"/>
    <n v="1.77442971407173"/>
    <x v="1"/>
    <x v="0"/>
    <n v="24"/>
    <n v="826"/>
    <n v="28"/>
    <n v="12.8362845728327"/>
    <s v="Pass"/>
    <n v="1.1737554953874501"/>
    <x v="1"/>
    <x v="0"/>
    <n v="832.210808706021"/>
    <x v="0"/>
    <x v="0"/>
    <x v="2"/>
    <s v="Approved"/>
    <s v="Normal"/>
  </r>
  <r>
    <x v="0"/>
    <s v="SKU57"/>
    <n v="49.263205350734097"/>
    <n v="65"/>
    <n v="227"/>
    <n v="1605.8669003924001"/>
    <s v="Unknown"/>
    <n v="5"/>
    <n v="18"/>
    <n v="51"/>
    <n v="1"/>
    <s v="Carrier B"/>
    <n v="9.1605585353818704"/>
    <x v="4"/>
    <x v="2"/>
    <n v="21"/>
    <n v="588"/>
    <n v="25"/>
    <n v="67.779622987078099"/>
    <s v="Pending"/>
    <n v="2.5111748302126999"/>
    <x v="2"/>
    <x v="2"/>
    <n v="482.19123860252802"/>
    <x v="0"/>
    <x v="0"/>
    <x v="1"/>
    <s v="Review Required"/>
    <s v="Normal"/>
  </r>
  <r>
    <x v="1"/>
    <s v="SKU58"/>
    <n v="59.841561377289302"/>
    <n v="81"/>
    <n v="896"/>
    <n v="2021.1498103371"/>
    <s v="Non-binary"/>
    <n v="10"/>
    <n v="5"/>
    <n v="44"/>
    <n v="7"/>
    <s v="Carrier A"/>
    <n v="4.9384385647120901"/>
    <x v="0"/>
    <x v="2"/>
    <n v="18"/>
    <n v="396"/>
    <n v="7"/>
    <n v="65.047415094691402"/>
    <s v="Fail"/>
    <n v="1.7303747198591899"/>
    <x v="0"/>
    <x v="0"/>
    <n v="110.364335231364"/>
    <x v="0"/>
    <x v="1"/>
    <x v="1"/>
    <s v="Review Required"/>
    <s v="Normal"/>
  </r>
  <r>
    <x v="2"/>
    <s v="SKU59"/>
    <n v="63.828398347710902"/>
    <n v="30"/>
    <n v="484"/>
    <n v="1061.6185230132801"/>
    <s v="Non-binary"/>
    <n v="100"/>
    <n v="16"/>
    <n v="26"/>
    <n v="7"/>
    <s v="Carrier B"/>
    <n v="7.2937225968677204"/>
    <x v="1"/>
    <x v="1"/>
    <n v="11"/>
    <n v="176"/>
    <n v="4"/>
    <n v="1.90076224351945"/>
    <s v="Fail"/>
    <n v="0.44719401546382298"/>
    <x v="1"/>
    <x v="2"/>
    <n v="312.57427361009297"/>
    <x v="1"/>
    <x v="1"/>
    <x v="0"/>
    <s v="Review Required"/>
    <s v="Normal"/>
  </r>
  <r>
    <x v="1"/>
    <s v="SKU60"/>
    <n v="17.028027920188698"/>
    <n v="16"/>
    <n v="380"/>
    <n v="8864.0843495864301"/>
    <s v="Female"/>
    <n v="41"/>
    <n v="27"/>
    <n v="72"/>
    <n v="8"/>
    <s v="Carrier C"/>
    <n v="4.3813681581023101"/>
    <x v="3"/>
    <x v="0"/>
    <n v="29"/>
    <n v="929"/>
    <n v="24"/>
    <n v="87.213057815135599"/>
    <s v="Fail"/>
    <n v="2.8530906166490499"/>
    <x v="2"/>
    <x v="2"/>
    <n v="430.16909697513597"/>
    <x v="0"/>
    <x v="0"/>
    <x v="2"/>
    <s v="Review Required"/>
    <s v="Normal"/>
  </r>
  <r>
    <x v="0"/>
    <s v="SKU61"/>
    <n v="52.028749903294901"/>
    <n v="23"/>
    <n v="117"/>
    <n v="6885.5893508962499"/>
    <s v="Unknown"/>
    <n v="32"/>
    <n v="23"/>
    <n v="36"/>
    <n v="7"/>
    <s v="Carrier C"/>
    <n v="9.0303404225219399"/>
    <x v="3"/>
    <x v="1"/>
    <n v="14"/>
    <n v="480"/>
    <n v="12"/>
    <n v="78.702393968878894"/>
    <s v="Fail"/>
    <n v="4.3674705382050503"/>
    <x v="1"/>
    <x v="2"/>
    <n v="164.366528243419"/>
    <x v="0"/>
    <x v="1"/>
    <x v="2"/>
    <s v="Review Required"/>
    <s v="Normal"/>
  </r>
  <r>
    <x v="2"/>
    <s v="SKU62"/>
    <n v="72.796353955587307"/>
    <n v="89"/>
    <n v="270"/>
    <n v="3899.7468337292198"/>
    <s v="Unknown"/>
    <n v="86"/>
    <n v="2"/>
    <n v="40"/>
    <n v="7"/>
    <s v="Carrier C"/>
    <n v="7.2917013887767697"/>
    <x v="4"/>
    <x v="0"/>
    <n v="13"/>
    <n v="751"/>
    <n v="14"/>
    <n v="21.048642725168602"/>
    <s v="Pass"/>
    <n v="1.87400140404437"/>
    <x v="3"/>
    <x v="1"/>
    <n v="320.84651575911101"/>
    <x v="1"/>
    <x v="1"/>
    <x v="0"/>
    <s v="Approved"/>
    <s v="Normal"/>
  </r>
  <r>
    <x v="1"/>
    <s v="SKU63"/>
    <n v="13.0173767852878"/>
    <n v="55"/>
    <n v="246"/>
    <n v="4256.9491408502199"/>
    <s v="Non-binary"/>
    <n v="54"/>
    <n v="19"/>
    <n v="10"/>
    <n v="4"/>
    <s v="Carrier A"/>
    <n v="2.45793352798733"/>
    <x v="0"/>
    <x v="3"/>
    <n v="18"/>
    <n v="736"/>
    <n v="10"/>
    <n v="20.075003975630398"/>
    <s v="Pending"/>
    <n v="3.6328432903821302"/>
    <x v="3"/>
    <x v="2"/>
    <n v="687.28617786641701"/>
    <x v="1"/>
    <x v="1"/>
    <x v="0"/>
    <s v="Review Required"/>
    <s v="Normal"/>
  </r>
  <r>
    <x v="1"/>
    <s v="SKU64"/>
    <n v="89.634095608135297"/>
    <n v="11"/>
    <n v="134"/>
    <n v="8458.7308783671706"/>
    <s v="Female"/>
    <n v="73"/>
    <n v="27"/>
    <n v="75"/>
    <n v="6"/>
    <s v="Carrier C"/>
    <n v="4.5853534681946497"/>
    <x v="1"/>
    <x v="2"/>
    <n v="17"/>
    <n v="328"/>
    <n v="6"/>
    <n v="8.6930424258772803"/>
    <s v="Fail"/>
    <n v="0.15948631471751401"/>
    <x v="1"/>
    <x v="1"/>
    <n v="771.225084681157"/>
    <x v="0"/>
    <x v="1"/>
    <x v="0"/>
    <s v="Review Required"/>
    <s v="Normal"/>
  </r>
  <r>
    <x v="1"/>
    <s v="SKU65"/>
    <n v="33.697717206643098"/>
    <n v="72"/>
    <n v="457"/>
    <n v="8354.5796864819895"/>
    <s v="Male"/>
    <n v="57"/>
    <n v="24"/>
    <n v="54"/>
    <n v="8"/>
    <s v="Carrier C"/>
    <n v="6.5805413478845898"/>
    <x v="2"/>
    <x v="1"/>
    <n v="16"/>
    <n v="358"/>
    <n v="21"/>
    <n v="1.59722274305067"/>
    <s v="Fail"/>
    <n v="4.9110959548423301"/>
    <x v="2"/>
    <x v="1"/>
    <n v="555.85910367174301"/>
    <x v="1"/>
    <x v="1"/>
    <x v="0"/>
    <s v="Review Required"/>
    <s v="Normal"/>
  </r>
  <r>
    <x v="1"/>
    <s v="SKU66"/>
    <n v="26.034869773962001"/>
    <n v="52"/>
    <n v="704"/>
    <n v="8367.7216180201503"/>
    <s v="Female"/>
    <n v="13"/>
    <n v="17"/>
    <n v="19"/>
    <n v="8"/>
    <s v="Carrier A"/>
    <n v="2.2161427287713602"/>
    <x v="2"/>
    <x v="1"/>
    <n v="24"/>
    <n v="867"/>
    <n v="28"/>
    <n v="42.084436738309897"/>
    <s v="Fail"/>
    <n v="3.44806328834026"/>
    <x v="0"/>
    <x v="2"/>
    <n v="393.84334857842703"/>
    <x v="0"/>
    <x v="0"/>
    <x v="1"/>
    <s v="Review Required"/>
    <s v="Normal"/>
  </r>
  <r>
    <x v="1"/>
    <s v="SKU67"/>
    <n v="87.755432354001002"/>
    <n v="16"/>
    <n v="513"/>
    <n v="9473.7980325083299"/>
    <s v="Unknown"/>
    <n v="12"/>
    <n v="9"/>
    <n v="71"/>
    <n v="9"/>
    <s v="Carrier C"/>
    <n v="9.1478115447106294"/>
    <x v="1"/>
    <x v="0"/>
    <n v="10"/>
    <n v="198"/>
    <n v="11"/>
    <n v="7.0578761469782298"/>
    <s v="Pass"/>
    <n v="0.131955444311814"/>
    <x v="3"/>
    <x v="1"/>
    <n v="169.27180138478599"/>
    <x v="0"/>
    <x v="1"/>
    <x v="1"/>
    <s v="Approved"/>
    <s v="Normal"/>
  </r>
  <r>
    <x v="0"/>
    <s v="SKU68"/>
    <n v="37.931812382790298"/>
    <n v="29"/>
    <n v="163"/>
    <n v="3550.21843278099"/>
    <s v="Non-binary"/>
    <n v="0"/>
    <n v="8"/>
    <n v="58"/>
    <n v="8"/>
    <s v="Carrier B"/>
    <n v="1.19425186488499"/>
    <x v="4"/>
    <x v="3"/>
    <n v="2"/>
    <n v="375"/>
    <n v="18"/>
    <n v="97.113581563462205"/>
    <s v="Fail"/>
    <n v="1.9834678721741801"/>
    <x v="2"/>
    <x v="2"/>
    <n v="299.70630311810299"/>
    <x v="0"/>
    <x v="2"/>
    <x v="1"/>
    <s v="Review Required"/>
    <s v="Normal"/>
  </r>
  <r>
    <x v="1"/>
    <s v="SKU69"/>
    <n v="54.865528517069698"/>
    <n v="62"/>
    <n v="511"/>
    <n v="1752.3810874841199"/>
    <s v="Non-binary"/>
    <n v="95"/>
    <n v="1"/>
    <n v="27"/>
    <n v="3"/>
    <s v="Carrier B"/>
    <n v="9.7052867901203399"/>
    <x v="3"/>
    <x v="1"/>
    <n v="9"/>
    <n v="862"/>
    <n v="7"/>
    <n v="77.627765812748095"/>
    <s v="Pending"/>
    <n v="1.3623879886490999"/>
    <x v="1"/>
    <x v="2"/>
    <n v="207.66320620857499"/>
    <x v="1"/>
    <x v="2"/>
    <x v="0"/>
    <s v="Review Required"/>
    <s v="Normal"/>
  </r>
  <r>
    <x v="0"/>
    <s v="SKU70"/>
    <n v="47.914541824058702"/>
    <n v="90"/>
    <n v="32"/>
    <n v="7014.8879872033804"/>
    <s v="Female"/>
    <n v="10"/>
    <n v="12"/>
    <n v="22"/>
    <n v="4"/>
    <s v="Carrier B"/>
    <n v="6.3157177546007199"/>
    <x v="1"/>
    <x v="3"/>
    <n v="22"/>
    <n v="775"/>
    <n v="16"/>
    <n v="11.440781823761199"/>
    <s v="Pass"/>
    <n v="1.8305755986122301"/>
    <x v="0"/>
    <x v="1"/>
    <n v="183.27289874871099"/>
    <x v="0"/>
    <x v="0"/>
    <x v="1"/>
    <s v="Approved"/>
    <s v="Normal"/>
  </r>
  <r>
    <x v="2"/>
    <s v="SKU71"/>
    <n v="6.3815331627479601"/>
    <n v="14"/>
    <n v="637"/>
    <n v="8180.3370854254399"/>
    <s v="Female"/>
    <n v="76"/>
    <n v="2"/>
    <n v="26"/>
    <n v="6"/>
    <s v="Carrier A"/>
    <n v="9.2281903170525101"/>
    <x v="4"/>
    <x v="3"/>
    <n v="2"/>
    <n v="258"/>
    <n v="10"/>
    <n v="30.661677477859499"/>
    <s v="Pending"/>
    <n v="2.07875060787496"/>
    <x v="0"/>
    <x v="2"/>
    <n v="405.167067888855"/>
    <x v="1"/>
    <x v="2"/>
    <x v="0"/>
    <s v="Review Required"/>
    <s v="Normal"/>
  </r>
  <r>
    <x v="2"/>
    <s v="SKU72"/>
    <n v="90.204427520528"/>
    <n v="88"/>
    <n v="478"/>
    <n v="2633.1219813122498"/>
    <s v="Non-binary"/>
    <n v="57"/>
    <n v="29"/>
    <n v="77"/>
    <n v="9"/>
    <s v="Carrier A"/>
    <n v="6.5996141596895397"/>
    <x v="1"/>
    <x v="3"/>
    <n v="21"/>
    <n v="152"/>
    <n v="11"/>
    <n v="55.760492895244198"/>
    <s v="Pending"/>
    <n v="3.2133296074383"/>
    <x v="2"/>
    <x v="0"/>
    <n v="677.94456984618296"/>
    <x v="0"/>
    <x v="0"/>
    <x v="0"/>
    <s v="Review Required"/>
    <s v="Normal"/>
  </r>
  <r>
    <x v="2"/>
    <s v="SKU73"/>
    <n v="83.851017681304597"/>
    <n v="41"/>
    <n v="375"/>
    <n v="7910.8869161406801"/>
    <s v="Male"/>
    <n v="17"/>
    <n v="25"/>
    <n v="66"/>
    <n v="5"/>
    <s v="Carrier B"/>
    <n v="1.5129368369160701"/>
    <x v="3"/>
    <x v="4"/>
    <n v="13"/>
    <n v="444"/>
    <n v="4"/>
    <n v="46.870238797617098"/>
    <s v="Fail"/>
    <n v="4.6205460645137002"/>
    <x v="0"/>
    <x v="2"/>
    <n v="866.472800129657"/>
    <x v="0"/>
    <x v="1"/>
    <x v="1"/>
    <s v="Review Required"/>
    <s v="Normal"/>
  </r>
  <r>
    <x v="0"/>
    <s v="SKU74"/>
    <n v="3.1700114135661499"/>
    <n v="64"/>
    <n v="904"/>
    <n v="5709.9452959692799"/>
    <s v="Female"/>
    <n v="41"/>
    <n v="6"/>
    <n v="1"/>
    <n v="5"/>
    <s v="Carrier A"/>
    <n v="5.2376546500374399"/>
    <x v="3"/>
    <x v="2"/>
    <n v="1"/>
    <n v="919"/>
    <n v="9"/>
    <n v="80.580852156447804"/>
    <s v="Fail"/>
    <n v="0.39661272410993498"/>
    <x v="2"/>
    <x v="2"/>
    <n v="341.55265678322297"/>
    <x v="1"/>
    <x v="2"/>
    <x v="2"/>
    <s v="Review Required"/>
    <s v="Normal"/>
  </r>
  <r>
    <x v="1"/>
    <s v="SKU75"/>
    <n v="92.996884233970604"/>
    <n v="29"/>
    <n v="106"/>
    <n v="1889.07358977933"/>
    <s v="Non-binary"/>
    <n v="16"/>
    <n v="20"/>
    <n v="56"/>
    <n v="10"/>
    <s v="Carrier C"/>
    <n v="2.47389776104546"/>
    <x v="1"/>
    <x v="4"/>
    <n v="25"/>
    <n v="759"/>
    <n v="11"/>
    <n v="48.064782640006499"/>
    <s v="Pass"/>
    <n v="2.0300690886687498"/>
    <x v="1"/>
    <x v="1"/>
    <n v="873.12964801765099"/>
    <x v="0"/>
    <x v="0"/>
    <x v="1"/>
    <s v="Approved"/>
    <s v="Normal"/>
  </r>
  <r>
    <x v="0"/>
    <s v="SKU76"/>
    <n v="69.108799547430294"/>
    <n v="23"/>
    <n v="241"/>
    <n v="5328.3759842977497"/>
    <s v="Male"/>
    <n v="38"/>
    <n v="1"/>
    <n v="22"/>
    <n v="10"/>
    <s v="Carrier A"/>
    <n v="7.0545383368369201"/>
    <x v="4"/>
    <x v="3"/>
    <n v="25"/>
    <n v="985"/>
    <n v="24"/>
    <n v="64.323597795600193"/>
    <s v="Pending"/>
    <n v="2.1800374515822099"/>
    <x v="2"/>
    <x v="2"/>
    <n v="997.41345013319403"/>
    <x v="1"/>
    <x v="0"/>
    <x v="2"/>
    <s v="Review Required"/>
    <s v="Normal"/>
  </r>
  <r>
    <x v="0"/>
    <s v="SKU77"/>
    <n v="57.449742958971399"/>
    <n v="14"/>
    <n v="359"/>
    <n v="2483.7601775427902"/>
    <s v="Unknown"/>
    <n v="96"/>
    <n v="28"/>
    <n v="57"/>
    <n v="4"/>
    <s v="Carrier B"/>
    <n v="6.7809466256178901"/>
    <x v="1"/>
    <x v="1"/>
    <n v="26"/>
    <n v="334"/>
    <n v="5"/>
    <n v="42.952444748991802"/>
    <s v="Pass"/>
    <n v="3.0551418183075398"/>
    <x v="0"/>
    <x v="0"/>
    <n v="852.56809891984994"/>
    <x v="1"/>
    <x v="0"/>
    <x v="0"/>
    <s v="Approved"/>
    <s v="Normal"/>
  </r>
  <r>
    <x v="0"/>
    <s v="SKU78"/>
    <n v="6.30688317611191"/>
    <n v="50"/>
    <n v="946"/>
    <n v="1292.45841793775"/>
    <s v="Unknown"/>
    <n v="5"/>
    <n v="4"/>
    <n v="51"/>
    <n v="5"/>
    <s v="Carrier B"/>
    <n v="8.4670497708619905"/>
    <x v="2"/>
    <x v="0"/>
    <n v="25"/>
    <n v="858"/>
    <n v="21"/>
    <n v="71.126514720403307"/>
    <s v="Pending"/>
    <n v="4.0968813324704501"/>
    <x v="3"/>
    <x v="1"/>
    <n v="323.59220343132199"/>
    <x v="0"/>
    <x v="0"/>
    <x v="1"/>
    <s v="Review Required"/>
    <s v="Normal"/>
  </r>
  <r>
    <x v="0"/>
    <s v="SKU79"/>
    <n v="57.057031221103202"/>
    <n v="56"/>
    <n v="198"/>
    <n v="7888.7232684270803"/>
    <s v="Non-binary"/>
    <n v="31"/>
    <n v="25"/>
    <n v="20"/>
    <n v="1"/>
    <s v="Carrier B"/>
    <n v="6.49632536429504"/>
    <x v="0"/>
    <x v="3"/>
    <n v="5"/>
    <n v="228"/>
    <n v="12"/>
    <n v="57.870902924036201"/>
    <s v="Pending"/>
    <n v="0.16587162748060799"/>
    <x v="1"/>
    <x v="1"/>
    <n v="351.50421933503799"/>
    <x v="1"/>
    <x v="2"/>
    <x v="2"/>
    <s v="Review Required"/>
    <s v="Normal"/>
  </r>
  <r>
    <x v="1"/>
    <s v="SKU80"/>
    <n v="91.128318350444303"/>
    <n v="75"/>
    <n v="872"/>
    <n v="8651.67268298206"/>
    <s v="Unknown"/>
    <n v="39"/>
    <n v="14"/>
    <n v="41"/>
    <n v="2"/>
    <s v="Carrier C"/>
    <n v="2.8331846794189701"/>
    <x v="0"/>
    <x v="4"/>
    <n v="8"/>
    <n v="202"/>
    <n v="5"/>
    <n v="76.961228023819999"/>
    <s v="Fail"/>
    <n v="2.8496621985053299"/>
    <x v="3"/>
    <x v="0"/>
    <n v="787.77985049434403"/>
    <x v="0"/>
    <x v="2"/>
    <x v="2"/>
    <s v="Review Required"/>
    <s v="Normal"/>
  </r>
  <r>
    <x v="0"/>
    <s v="SKU81"/>
    <n v="72.819206930318202"/>
    <n v="9"/>
    <n v="774"/>
    <n v="4384.4134000458598"/>
    <s v="Unknown"/>
    <n v="48"/>
    <n v="6"/>
    <n v="8"/>
    <n v="5"/>
    <s v="Carrier B"/>
    <n v="4.0662775015120403"/>
    <x v="0"/>
    <x v="2"/>
    <n v="28"/>
    <n v="698"/>
    <n v="1"/>
    <n v="19.789592941903599"/>
    <s v="Pending"/>
    <n v="2.54754712154871"/>
    <x v="2"/>
    <x v="0"/>
    <n v="276.77833594679799"/>
    <x v="1"/>
    <x v="0"/>
    <x v="2"/>
    <s v="Review Required"/>
    <s v="Normal"/>
  </r>
  <r>
    <x v="1"/>
    <s v="SKU82"/>
    <n v="17.034930739467899"/>
    <n v="13"/>
    <n v="336"/>
    <n v="2943.3818676094502"/>
    <s v="Unknown"/>
    <n v="42"/>
    <n v="19"/>
    <n v="72"/>
    <n v="1"/>
    <s v="Carrier A"/>
    <n v="4.7081818735419301"/>
    <x v="4"/>
    <x v="0"/>
    <n v="6"/>
    <n v="955"/>
    <n v="26"/>
    <n v="4.4652784349432402"/>
    <s v="Pending"/>
    <n v="4.1378770486223502"/>
    <x v="0"/>
    <x v="1"/>
    <n v="589.97855562804"/>
    <x v="0"/>
    <x v="2"/>
    <x v="2"/>
    <s v="Review Required"/>
    <s v="Normal"/>
  </r>
  <r>
    <x v="0"/>
    <s v="SKU83"/>
    <n v="68.911246211606297"/>
    <n v="82"/>
    <n v="663"/>
    <n v="2411.7546321104901"/>
    <s v="Unknown"/>
    <n v="65"/>
    <n v="24"/>
    <n v="7"/>
    <n v="8"/>
    <s v="Carrier B"/>
    <n v="4.94983957799694"/>
    <x v="1"/>
    <x v="3"/>
    <n v="20"/>
    <n v="443"/>
    <n v="5"/>
    <n v="97.730593800533001"/>
    <s v="Fail"/>
    <n v="0.77300613406724705"/>
    <x v="0"/>
    <x v="2"/>
    <n v="682.97101822609295"/>
    <x v="1"/>
    <x v="1"/>
    <x v="0"/>
    <s v="Review Required"/>
    <s v="Normal"/>
  </r>
  <r>
    <x v="0"/>
    <s v="SKU84"/>
    <n v="89.104367292102197"/>
    <n v="99"/>
    <n v="618"/>
    <n v="2048.2900998487098"/>
    <s v="Unknown"/>
    <n v="73"/>
    <n v="26"/>
    <n v="80"/>
    <n v="10"/>
    <s v="Carrier A"/>
    <n v="8.3816156249226292"/>
    <x v="2"/>
    <x v="4"/>
    <n v="24"/>
    <n v="589"/>
    <n v="22"/>
    <n v="33.808636513209002"/>
    <s v="Pass"/>
    <n v="4.8434565771180402"/>
    <x v="1"/>
    <x v="0"/>
    <n v="465.45700596368698"/>
    <x v="0"/>
    <x v="0"/>
    <x v="0"/>
    <s v="Approved"/>
    <s v="Normal"/>
  </r>
  <r>
    <x v="2"/>
    <s v="SKU85"/>
    <n v="76.962994415193805"/>
    <n v="83"/>
    <n v="25"/>
    <n v="8684.6130592538502"/>
    <s v="Female"/>
    <n v="15"/>
    <n v="18"/>
    <n v="66"/>
    <n v="2"/>
    <s v="Carrier C"/>
    <n v="8.2491687048717193"/>
    <x v="2"/>
    <x v="4"/>
    <n v="4"/>
    <n v="211"/>
    <n v="2"/>
    <n v="69.929345518672307"/>
    <s v="Fail"/>
    <n v="1.3744289997457499"/>
    <x v="0"/>
    <x v="0"/>
    <n v="842.68683000464102"/>
    <x v="0"/>
    <x v="2"/>
    <x v="1"/>
    <s v="Review Required"/>
    <s v="Normal"/>
  </r>
  <r>
    <x v="1"/>
    <s v="SKU86"/>
    <n v="19.9981769404042"/>
    <n v="18"/>
    <n v="223"/>
    <n v="1229.59102856498"/>
    <s v="Unknown"/>
    <n v="32"/>
    <n v="14"/>
    <n v="22"/>
    <n v="6"/>
    <s v="Carrier B"/>
    <n v="1.4543053101535499"/>
    <x v="1"/>
    <x v="0"/>
    <n v="4"/>
    <n v="569"/>
    <n v="18"/>
    <n v="74.608969995194599"/>
    <s v="Pass"/>
    <n v="2.0515129307662399"/>
    <x v="2"/>
    <x v="2"/>
    <n v="264.25488983586598"/>
    <x v="1"/>
    <x v="2"/>
    <x v="2"/>
    <s v="Approved"/>
    <s v="Normal"/>
  </r>
  <r>
    <x v="0"/>
    <s v="SKU87"/>
    <n v="80.414036650355698"/>
    <n v="24"/>
    <n v="79"/>
    <n v="5133.8467010866898"/>
    <s v="Male"/>
    <n v="5"/>
    <n v="7"/>
    <n v="55"/>
    <n v="10"/>
    <s v="Carrier A"/>
    <n v="6.5758037975485299"/>
    <x v="0"/>
    <x v="4"/>
    <n v="27"/>
    <n v="523"/>
    <n v="17"/>
    <n v="28.696996824143099"/>
    <s v="Fail"/>
    <n v="3.6937377878392699"/>
    <x v="3"/>
    <x v="0"/>
    <n v="879.35921773492396"/>
    <x v="0"/>
    <x v="0"/>
    <x v="1"/>
    <s v="Review Required"/>
    <s v="Normal"/>
  </r>
  <r>
    <x v="2"/>
    <s v="SKU88"/>
    <n v="75.270406975724995"/>
    <n v="58"/>
    <n v="737"/>
    <n v="9444.7420330629793"/>
    <s v="Male"/>
    <n v="60"/>
    <n v="18"/>
    <n v="85"/>
    <n v="7"/>
    <s v="Carrier A"/>
    <n v="3.8012531329310701"/>
    <x v="4"/>
    <x v="0"/>
    <n v="21"/>
    <n v="953"/>
    <n v="11"/>
    <n v="68.1849190570411"/>
    <s v="Pending"/>
    <n v="0.722204401882931"/>
    <x v="3"/>
    <x v="2"/>
    <n v="103.916247960704"/>
    <x v="0"/>
    <x v="0"/>
    <x v="0"/>
    <s v="Review Required"/>
    <s v="Normal"/>
  </r>
  <r>
    <x v="2"/>
    <s v="SKU89"/>
    <n v="97.760085581938597"/>
    <n v="10"/>
    <n v="134"/>
    <n v="5924.6825668532301"/>
    <s v="Unknown"/>
    <n v="90"/>
    <n v="1"/>
    <n v="27"/>
    <n v="8"/>
    <s v="Carrier B"/>
    <n v="9.9298162452772498"/>
    <x v="1"/>
    <x v="1"/>
    <n v="23"/>
    <n v="370"/>
    <n v="11"/>
    <n v="46.603873381644398"/>
    <s v="Pending"/>
    <n v="1.9076657339590699"/>
    <x v="2"/>
    <x v="0"/>
    <n v="517.49997392906005"/>
    <x v="1"/>
    <x v="0"/>
    <x v="0"/>
    <s v="Review Required"/>
    <s v="Normal"/>
  </r>
  <r>
    <x v="1"/>
    <s v="SKU90"/>
    <n v="13.881913501359101"/>
    <n v="56"/>
    <n v="320"/>
    <n v="9592.6335702803099"/>
    <s v="Non-binary"/>
    <n v="66"/>
    <n v="18"/>
    <n v="96"/>
    <n v="7"/>
    <s v="Carrier B"/>
    <n v="7.6744307081126903"/>
    <x v="0"/>
    <x v="3"/>
    <n v="8"/>
    <n v="585"/>
    <n v="8"/>
    <n v="85.675963335797903"/>
    <s v="Pass"/>
    <n v="1.2193822244013801"/>
    <x v="2"/>
    <x v="0"/>
    <n v="990.07847250581096"/>
    <x v="0"/>
    <x v="2"/>
    <x v="0"/>
    <s v="Approved"/>
    <s v="Normal"/>
  </r>
  <r>
    <x v="2"/>
    <s v="SKU91"/>
    <n v="62.111965463961702"/>
    <n v="90"/>
    <n v="916"/>
    <n v="1935.20679350759"/>
    <s v="Male"/>
    <n v="98"/>
    <n v="22"/>
    <n v="85"/>
    <n v="7"/>
    <s v="Carrier B"/>
    <n v="7.4715140844011403"/>
    <x v="3"/>
    <x v="2"/>
    <n v="5"/>
    <n v="207"/>
    <n v="28"/>
    <n v="39.772882502339897"/>
    <s v="Pending"/>
    <n v="0.62600185820939402"/>
    <x v="2"/>
    <x v="0"/>
    <n v="996.77831495062298"/>
    <x v="1"/>
    <x v="2"/>
    <x v="0"/>
    <s v="Review Required"/>
    <s v="Normal"/>
  </r>
  <r>
    <x v="2"/>
    <s v="SKU92"/>
    <n v="47.714233075820196"/>
    <n v="44"/>
    <n v="276"/>
    <n v="2100.1297546259302"/>
    <s v="Male"/>
    <n v="90"/>
    <n v="25"/>
    <n v="10"/>
    <n v="8"/>
    <s v="Carrier B"/>
    <n v="4.4695000261236002"/>
    <x v="4"/>
    <x v="0"/>
    <n v="4"/>
    <n v="671"/>
    <n v="29"/>
    <n v="62.612690395614301"/>
    <s v="Pass"/>
    <n v="0.33343182522473902"/>
    <x v="2"/>
    <x v="0"/>
    <n v="230.092782536762"/>
    <x v="1"/>
    <x v="2"/>
    <x v="0"/>
    <s v="Approved"/>
    <s v="Normal"/>
  </r>
  <r>
    <x v="0"/>
    <s v="SKU93"/>
    <n v="69.290831002905406"/>
    <n v="88"/>
    <n v="114"/>
    <n v="4531.4021336919004"/>
    <s v="Unknown"/>
    <n v="63"/>
    <n v="17"/>
    <n v="66"/>
    <n v="1"/>
    <s v="Carrier C"/>
    <n v="7.00643205900439"/>
    <x v="3"/>
    <x v="4"/>
    <n v="21"/>
    <n v="824"/>
    <n v="20"/>
    <n v="35.633652343343797"/>
    <s v="Fail"/>
    <n v="4.1657817954241398"/>
    <x v="1"/>
    <x v="2"/>
    <n v="823.52384588815505"/>
    <x v="0"/>
    <x v="0"/>
    <x v="0"/>
    <s v="Review Required"/>
    <s v="Normal"/>
  </r>
  <r>
    <x v="2"/>
    <s v="SKU94"/>
    <n v="3.0376887246314102"/>
    <n v="97"/>
    <n v="987"/>
    <n v="7888.3565466618702"/>
    <s v="Unknown"/>
    <n v="77"/>
    <n v="26"/>
    <n v="72"/>
    <n v="9"/>
    <s v="Carrier B"/>
    <n v="6.9429459420325799"/>
    <x v="4"/>
    <x v="2"/>
    <n v="12"/>
    <n v="908"/>
    <n v="14"/>
    <n v="60.387378614862101"/>
    <s v="Pass"/>
    <n v="1.4636074984727701"/>
    <x v="2"/>
    <x v="0"/>
    <n v="846.66525698669398"/>
    <x v="1"/>
    <x v="1"/>
    <x v="0"/>
    <s v="Approved"/>
    <s v="Normal"/>
  </r>
  <r>
    <x v="0"/>
    <s v="SKU95"/>
    <n v="77.903927219447695"/>
    <n v="65"/>
    <n v="672"/>
    <n v="7386.3639440486604"/>
    <s v="Unknown"/>
    <n v="15"/>
    <n v="14"/>
    <n v="26"/>
    <n v="9"/>
    <s v="Carrier B"/>
    <n v="8.6303388696027508"/>
    <x v="3"/>
    <x v="0"/>
    <n v="18"/>
    <n v="450"/>
    <n v="26"/>
    <n v="58.890685768589897"/>
    <s v="Pending"/>
    <n v="1.21088212958506"/>
    <x v="1"/>
    <x v="2"/>
    <n v="778.86424137664699"/>
    <x v="0"/>
    <x v="1"/>
    <x v="1"/>
    <s v="Review Required"/>
    <s v="Normal"/>
  </r>
  <r>
    <x v="2"/>
    <s v="SKU96"/>
    <n v="24.423131420373299"/>
    <n v="29"/>
    <n v="324"/>
    <n v="7698.4247656321104"/>
    <s v="Non-binary"/>
    <n v="67"/>
    <n v="2"/>
    <n v="32"/>
    <n v="3"/>
    <s v="Carrier C"/>
    <n v="5.3528780439967996"/>
    <x v="0"/>
    <x v="0"/>
    <n v="28"/>
    <n v="648"/>
    <n v="28"/>
    <n v="17.803756331391199"/>
    <s v="Pending"/>
    <n v="3.8720476814821301"/>
    <x v="0"/>
    <x v="2"/>
    <n v="188.74214114905601"/>
    <x v="1"/>
    <x v="0"/>
    <x v="0"/>
    <s v="Review Required"/>
    <s v="Normal"/>
  </r>
  <r>
    <x v="0"/>
    <s v="SKU97"/>
    <n v="3.5261112591434101"/>
    <n v="56"/>
    <n v="62"/>
    <n v="4370.9165799845296"/>
    <s v="Male"/>
    <n v="46"/>
    <n v="19"/>
    <n v="4"/>
    <n v="9"/>
    <s v="Carrier A"/>
    <n v="7.9048456112096703"/>
    <x v="3"/>
    <x v="0"/>
    <n v="10"/>
    <n v="535"/>
    <n v="13"/>
    <n v="65.765155926367399"/>
    <s v="Fail"/>
    <n v="3.3762378347179798"/>
    <x v="0"/>
    <x v="2"/>
    <n v="540.13242286796697"/>
    <x v="1"/>
    <x v="1"/>
    <x v="2"/>
    <s v="Review Required"/>
    <s v="Normal"/>
  </r>
  <r>
    <x v="1"/>
    <s v="SKU98"/>
    <n v="19.754604866878601"/>
    <n v="43"/>
    <n v="913"/>
    <n v="8525.9525596835192"/>
    <s v="Female"/>
    <n v="53"/>
    <n v="1"/>
    <n v="27"/>
    <n v="7"/>
    <s v="Carrier B"/>
    <n v="1.4098010951380699"/>
    <x v="2"/>
    <x v="4"/>
    <n v="28"/>
    <n v="581"/>
    <n v="9"/>
    <n v="5.6046908643717801"/>
    <s v="Pending"/>
    <n v="2.9081221693512598"/>
    <x v="2"/>
    <x v="2"/>
    <n v="882.19886354704101"/>
    <x v="1"/>
    <x v="0"/>
    <x v="0"/>
    <s v="Review Required"/>
    <s v="Normal"/>
  </r>
  <r>
    <x v="0"/>
    <s v="SKU99"/>
    <n v="68.517832699276596"/>
    <n v="17"/>
    <n v="627"/>
    <n v="9185.1858291817007"/>
    <s v="Unknown"/>
    <n v="55"/>
    <n v="8"/>
    <n v="59"/>
    <n v="6"/>
    <s v="Carrier B"/>
    <n v="1.3110237561206199"/>
    <x v="4"/>
    <x v="4"/>
    <n v="29"/>
    <n v="921"/>
    <n v="2"/>
    <n v="38.072898520625998"/>
    <s v="Fail"/>
    <n v="0.34602729070550298"/>
    <x v="2"/>
    <x v="0"/>
    <n v="210.743008964246"/>
    <x v="0"/>
    <x v="0"/>
    <x v="0"/>
    <s v="Review Required"/>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FEDAD0-09D1-4D26-A66C-6940EA81D694}"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0:K34" firstHeaderRow="1" firstDataRow="1" firstDataCol="1"/>
  <pivotFields count="2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4">
        <item x="1"/>
        <item x="0"/>
        <item x="2"/>
        <item t="default"/>
      </items>
    </pivotField>
    <pivotField showAll="0"/>
    <pivotField showAll="0"/>
  </pivotFields>
  <rowFields count="1">
    <field x="26"/>
  </rowFields>
  <rowItems count="4">
    <i>
      <x/>
    </i>
    <i>
      <x v="1"/>
    </i>
    <i>
      <x v="2"/>
    </i>
    <i t="grand">
      <x/>
    </i>
  </rowItems>
  <colItems count="1">
    <i/>
  </colItems>
  <dataFields count="1">
    <dataField name="Count of SKU" fld="1" subtotal="count" showDataAs="percentOfTotal" baseField="26" baseItem="0" numFmtId="10"/>
  </dataFields>
  <chartFormats count="5">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6" count="1" selected="0">
            <x v="0"/>
          </reference>
        </references>
      </pivotArea>
    </chartFormat>
    <chartFormat chart="7" format="7">
      <pivotArea type="data" outline="0" fieldPosition="0">
        <references count="2">
          <reference field="4294967294" count="1" selected="0">
            <x v="0"/>
          </reference>
          <reference field="26" count="1" selected="0">
            <x v="1"/>
          </reference>
        </references>
      </pivotArea>
    </chartFormat>
    <chartFormat chart="7" format="8">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F6A26-C980-4F1F-A094-FBC18EFC5773}"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2:K26" firstHeaderRow="1" firstDataRow="1" firstDataCol="1" rowPageCount="1" colPageCount="1"/>
  <pivotFields count="2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axis="axisPage" multipleItemSelectionAllowed="1" showAll="0">
      <items count="4">
        <item x="0"/>
        <item h="1" x="2"/>
        <item h="1" x="1"/>
        <item t="default"/>
      </items>
    </pivotField>
    <pivotField showAll="0"/>
    <pivotField showAll="0"/>
    <pivotField showAll="0"/>
  </pivotFields>
  <rowFields count="1">
    <field x="22"/>
  </rowFields>
  <rowItems count="4">
    <i>
      <x/>
    </i>
    <i>
      <x v="1"/>
    </i>
    <i>
      <x v="2"/>
    </i>
    <i t="grand">
      <x/>
    </i>
  </rowItems>
  <colItems count="1">
    <i/>
  </colItems>
  <pageFields count="1">
    <pageField fld="25" hier="-1"/>
  </pageFields>
  <dataFields count="1">
    <dataField name="Count of SKU" fld="1" subtotal="count" baseField="2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C4106-DEE8-4431-A0BC-0D7454714BB7}"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2:H29" firstHeaderRow="1" firstDataRow="2" firstDataCol="1"/>
  <pivotFields count="2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items count="4">
        <item x="0"/>
        <item x="2"/>
        <item x="1"/>
        <item t="default"/>
      </items>
    </pivotField>
    <pivotField showAll="0"/>
    <pivotField showAll="0"/>
    <pivotField showAll="0"/>
  </pivotFields>
  <rowFields count="1">
    <field x="13"/>
  </rowFields>
  <rowItems count="6">
    <i>
      <x/>
    </i>
    <i>
      <x v="1"/>
    </i>
    <i>
      <x v="2"/>
    </i>
    <i>
      <x v="3"/>
    </i>
    <i>
      <x v="4"/>
    </i>
    <i t="grand">
      <x/>
    </i>
  </rowItems>
  <colFields count="1">
    <field x="24"/>
  </colFields>
  <colItems count="3">
    <i>
      <x/>
    </i>
    <i>
      <x v="1"/>
    </i>
    <i t="grand">
      <x/>
    </i>
  </colItems>
  <dataFields count="1">
    <dataField name="Count of SKU" fld="1" subtotal="count" baseField="0"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2" format="4" series="1">
      <pivotArea type="data" outline="0" fieldPosition="0">
        <references count="2">
          <reference field="4294967294" count="1" selected="0">
            <x v="0"/>
          </reference>
          <reference field="24" count="1" selected="0">
            <x v="0"/>
          </reference>
        </references>
      </pivotArea>
    </chartFormat>
    <chartFormat chart="2"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AB1D7C-2EBE-44B4-A801-F53F7B6BB1CD}"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6" firstHeaderRow="1" firstDataRow="1" firstDataCol="1"/>
  <pivotFields count="2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25"/>
  </rowFields>
  <rowItems count="4">
    <i>
      <x/>
    </i>
    <i>
      <x v="1"/>
    </i>
    <i>
      <x v="2"/>
    </i>
    <i t="grand">
      <x/>
    </i>
  </rowItems>
  <colItems count="1">
    <i/>
  </colItems>
  <dataFields count="1">
    <dataField name="Count of SKU" fld="1" subtotal="count" showDataAs="percentOfTotal" baseField="25"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5" count="1" selected="0">
            <x v="0"/>
          </reference>
        </references>
      </pivotArea>
    </chartFormat>
    <chartFormat chart="2" format="7">
      <pivotArea type="data" outline="0" fieldPosition="0">
        <references count="2">
          <reference field="4294967294" count="1" selected="0">
            <x v="0"/>
          </reference>
          <reference field="25" count="1" selected="0">
            <x v="1"/>
          </reference>
        </references>
      </pivotArea>
    </chartFormat>
    <chartFormat chart="2" format="8">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FCB72-1C6D-43CE-80DC-6A508DCD9BAB}"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2:E18"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Average of Defect rates" fld="20" subtotal="average" baseField="13" baseItem="0" numFmtId="2"/>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5A24BE-404D-40CF-93CA-B117E3B17E94}"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5" firstHeaderRow="1" firstDataRow="1" firstDataCol="1"/>
  <pivotFields count="29">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1"/>
        <item x="4"/>
        <item x="0"/>
        <item x="3"/>
        <item x="2"/>
        <item t="default"/>
      </items>
    </pivotField>
    <pivotField axis="axisRow" showAll="0">
      <items count="6">
        <item x="3"/>
        <item x="4"/>
        <item x="2"/>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Lead times" fld="8" subtotal="average" baseField="14" baseItem="0" numFmtId="2"/>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2BEAC5-E112-4CAA-9D47-353D614A4D2E}" name="PivotTable4"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H2:I7" firstHeaderRow="1" firstDataRow="1" firstDataCol="1"/>
  <pivotFields count="29">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Count of SKU" fld="1" subtotal="count" showDataAs="percentOfTotal" baseField="21" baseItem="0" numFmtId="10"/>
  </dataField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1" count="1" selected="0">
            <x v="0"/>
          </reference>
        </references>
      </pivotArea>
    </chartFormat>
    <chartFormat chart="2" format="8">
      <pivotArea type="data" outline="0" fieldPosition="0">
        <references count="2">
          <reference field="4294967294" count="1" selected="0">
            <x v="0"/>
          </reference>
          <reference field="21" count="1" selected="0">
            <x v="1"/>
          </reference>
        </references>
      </pivotArea>
    </chartFormat>
    <chartFormat chart="2" format="9">
      <pivotArea type="data" outline="0" fieldPosition="0">
        <references count="2">
          <reference field="4294967294" count="1" selected="0">
            <x v="0"/>
          </reference>
          <reference field="21" count="1" selected="0">
            <x v="2"/>
          </reference>
        </references>
      </pivotArea>
    </chartFormat>
    <chartFormat chart="2" format="10">
      <pivotArea type="data" outline="0" fieldPosition="0">
        <references count="2">
          <reference field="4294967294" count="1" selected="0">
            <x v="0"/>
          </reference>
          <reference field="21"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1" count="1" selected="0">
            <x v="0"/>
          </reference>
        </references>
      </pivotArea>
    </chartFormat>
    <chartFormat chart="6" format="18">
      <pivotArea type="data" outline="0" fieldPosition="0">
        <references count="2">
          <reference field="4294967294" count="1" selected="0">
            <x v="0"/>
          </reference>
          <reference field="21" count="1" selected="0">
            <x v="1"/>
          </reference>
        </references>
      </pivotArea>
    </chartFormat>
    <chartFormat chart="6" format="19">
      <pivotArea type="data" outline="0" fieldPosition="0">
        <references count="2">
          <reference field="4294967294" count="1" selected="0">
            <x v="0"/>
          </reference>
          <reference field="21" count="1" selected="0">
            <x v="2"/>
          </reference>
        </references>
      </pivotArea>
    </chartFormat>
    <chartFormat chart="6" format="2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DA6EE-5947-498E-AA98-81441CDC7AAC}" name="PivotTable3"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D2:E8"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1"/>
        <item x="4"/>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Average of Shipping costs" fld="12" subtotal="average" baseField="13" baseItem="0" numFmtId="2"/>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778A0E-6B7B-4D41-BB6B-194C896FA75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6" firstHeaderRow="1" firstDataRow="1" firstDataCol="1"/>
  <pivotFields count="29">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Order quantiti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106D63-963B-412B-A7E3-F88752DA916A}" name="PivotTable9"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H12:I16"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s>
  <rowFields count="1">
    <field x="22"/>
  </rowFields>
  <rowItems count="4">
    <i>
      <x/>
    </i>
    <i>
      <x v="1"/>
    </i>
    <i>
      <x v="2"/>
    </i>
    <i t="grand">
      <x/>
    </i>
  </rowItems>
  <colItems count="1">
    <i/>
  </colItems>
  <dataFields count="1">
    <dataField name="Average of Costs" fld="23" subtotal="average" baseField="22" baseItem="0" numFmtId="2"/>
  </dataFields>
  <formats count="1">
    <format dxfId="8">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2" count="1" selected="0">
            <x v="0"/>
          </reference>
        </references>
      </pivotArea>
    </chartFormat>
    <chartFormat chart="7" format="11">
      <pivotArea type="data" outline="0" fieldPosition="0">
        <references count="2">
          <reference field="4294967294" count="1" selected="0">
            <x v="0"/>
          </reference>
          <reference field="22" count="1" selected="0">
            <x v="1"/>
          </reference>
        </references>
      </pivotArea>
    </chartFormat>
    <chartFormat chart="7" format="12">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2D63700-6F29-4926-8B4C-794F33E6ADDC}" sourceName="Product type">
  <pivotTables>
    <pivotTable tabId="3" name="PivotTable5"/>
  </pivotTables>
  <data>
    <tabular pivotCacheId="13030639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B9054685-2441-4F56-879E-1F6F67A0F020}" sourceName="Supplier name">
  <pivotTables>
    <pivotTable tabId="3" name="PivotTable5"/>
  </pivotTables>
  <data>
    <tabular pivotCacheId="1303063951">
      <items count="5">
        <i x="1" s="1"/>
        <i x="4"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D99A3E-0521-4588-9C48-99E79690F23D}" sourceName="Location">
  <pivotTables>
    <pivotTable tabId="3" name="PivotTable5"/>
  </pivotTables>
  <data>
    <tabular pivotCacheId="1303063951">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A07B3155-F792-41EB-8884-93CF986D26D7}" sourceName="Transportation modes">
  <pivotTables>
    <pivotTable tabId="3" name="PivotTable5"/>
  </pivotTables>
  <data>
    <tabular pivotCacheId="1303063951">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s" xr10:uid="{F50BB41D-1DF2-4A54-A3AC-F93C49C045CE}" sourceName="Routes">
  <pivotTables>
    <pivotTable tabId="3" name="PivotTable11"/>
  </pivotTables>
  <data>
    <tabular pivotCacheId="1303063951">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B988735-2658-44FB-9FCE-886D3BD3613F}" sourceName="Delivery Status">
  <pivotTables>
    <pivotTable tabId="3" name="PivotTable11"/>
  </pivotTables>
  <data>
    <tabular pivotCacheId="130306395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D22C27D8-2434-40F1-A4FB-CE52B16CC62F}" cache="Slicer_Product_type" caption="Product type" rowHeight="144000"/>
  <slicer name="Supplier name" xr10:uid="{FCB4F397-03BF-49BE-8142-0D427CBEDA22}" cache="Slicer_Supplier_name" caption="Supplier name" rowHeight="126000"/>
  <slicer name="Location" xr10:uid="{3681702F-6945-4167-B0B9-7CFEDEA0D234}" cache="Slicer_Location" caption="Location" rowHeight="144000"/>
  <slicer name="Transportation modes" xr10:uid="{29D4CCE1-9E4B-49DE-8614-633AC4CCFA8E}" cache="Slicer_Transportation_modes" caption="Transportation modes"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1" xr10:uid="{468F6299-FA78-408D-AD4F-4600B0772A24}" cache="Slicer_Supplier_name" caption="Supplier name" rowHeight="216000"/>
  <slicer name="Transportation modes 1" xr10:uid="{29B96E71-84E8-4A7A-915C-3D1F1AF427CD}" cache="Slicer_Transportation_modes" caption="Transportation modes" rowHeight="216000"/>
  <slicer name="Routes" xr10:uid="{46955A4E-77AC-44BD-9ED6-E3233353006C}" cache="Slicer_Routes" caption="Routes" rowHeight="216000"/>
  <slicer name="Delivery Status" xr10:uid="{3408E38C-D3E7-4A31-AC9D-83153D22D8FA}" cache="Slicer_Delivery_Status" caption="Delivery Status"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27CB03-C434-41E9-96AC-557C1AB40E2C}" name="Table1" displayName="Table1" ref="A1:AC101" totalsRowShown="0">
  <autoFilter ref="A1:AC101" xr:uid="{AD27CB03-C434-41E9-96AC-557C1AB40E2C}"/>
  <tableColumns count="29">
    <tableColumn id="1" xr3:uid="{9F053DE2-A48F-487A-B019-436EBD5C7C62}" name="Product type"/>
    <tableColumn id="2" xr3:uid="{3C16F086-9BCA-48BB-AAED-7300353E0585}" name="SKU"/>
    <tableColumn id="3" xr3:uid="{D8555263-E35C-4C83-A776-F283452CBE47}" name="Price"/>
    <tableColumn id="4" xr3:uid="{2892503D-547D-4774-8C6E-38A77DF6CA6E}" name="Availability"/>
    <tableColumn id="5" xr3:uid="{0D20EE9F-31E9-4955-951D-87D4619329C2}" name="Number of products sold"/>
    <tableColumn id="6" xr3:uid="{ECC43910-54C4-40A0-A94E-6C7E92532CD0}" name="Revenue generated"/>
    <tableColumn id="7" xr3:uid="{92991883-6DB8-4490-81C4-BC6786F700FA}" name="Customer demographics"/>
    <tableColumn id="8" xr3:uid="{0E85D2D0-4AE8-4EED-97E5-12FCEAF361B6}" name="Stock levels"/>
    <tableColumn id="9" xr3:uid="{50B6C4F7-198D-4683-93D6-BE073814A9CB}" name="Lead times"/>
    <tableColumn id="10" xr3:uid="{37920B95-F351-45A8-9924-C9FB79DD4798}" name="Order quantities"/>
    <tableColumn id="11" xr3:uid="{79F99CA4-E642-489E-A96F-59730C722A31}" name="Shipping times"/>
    <tableColumn id="12" xr3:uid="{4DBE9FBB-0B7B-4440-BE3D-0F575C61BA46}" name="Shipping carriers"/>
    <tableColumn id="13" xr3:uid="{EAE33247-9DEE-48B5-835A-0318A250DD12}" name="Shipping costs"/>
    <tableColumn id="14" xr3:uid="{E8DAEF3B-26C8-4141-8C98-DC7DC3A8A6F8}" name="Supplier name"/>
    <tableColumn id="15" xr3:uid="{BAEAEEFB-C801-4FF9-A7EF-C319709D2609}" name="Location"/>
    <tableColumn id="16" xr3:uid="{6454C540-AF5C-4B03-A458-B02080B12E44}" name="Lead time"/>
    <tableColumn id="17" xr3:uid="{D6306A74-A30E-49D8-864B-AA58F33F9ED5}" name="Production volumes"/>
    <tableColumn id="18" xr3:uid="{5D5ACC2C-3290-483A-9079-A1B040A60AE5}" name="Manufacturing lead time"/>
    <tableColumn id="19" xr3:uid="{A0C052C1-C0F9-4693-888A-454E1B445348}" name="Manufacturing costs"/>
    <tableColumn id="20" xr3:uid="{2D9E6838-4A30-441D-89EA-5DA79E76BAF2}" name="Inspection results"/>
    <tableColumn id="21" xr3:uid="{62E9A587-B79B-4B92-83A1-493ACE900AC9}" name="Defect rates"/>
    <tableColumn id="22" xr3:uid="{070B0991-863E-4BBE-9E06-4823ED87BAEC}" name="Transportation modes"/>
    <tableColumn id="23" xr3:uid="{DBD7DF0D-247E-4A21-8B55-D27F18C59D7F}" name="Routes"/>
    <tableColumn id="24" xr3:uid="{40C58C40-3B28-4737-B726-ED4C4AFAA199}" name="Costs"/>
    <tableColumn id="25" xr3:uid="{AC87E8DC-9948-4884-8647-BF5815349C8B}" name="PO Status" dataDxfId="4">
      <calculatedColumnFormula>IF(J2&gt;H2,"Urgent","On Track")</calculatedColumnFormula>
    </tableColumn>
    <tableColumn id="26" xr3:uid="{FA5DE3A0-7611-4C79-9043-E075D7F08A74}" name="Delivery Status" dataDxfId="3">
      <calculatedColumnFormula>IF(P2&gt;20,"Delayed",IF(P2&lt;10,"Fast","Moderate"))</calculatedColumnFormula>
    </tableColumn>
    <tableColumn id="27" xr3:uid="{A455FD2E-48CA-4BA4-9FAE-0E8E40566E32}" name="Inventory Risk" dataDxfId="2">
      <calculatedColumnFormula>IF(H2&lt;20,"High",IF(H2&lt;50,"Medium","Low"))</calculatedColumnFormula>
    </tableColumn>
    <tableColumn id="28" xr3:uid="{18C3127C-0CAB-4DC2-8229-9E67FE26FAED}" name="Quality Status" dataDxfId="1">
      <calculatedColumnFormula>IF(T2="Pass","Approved","Review Required")</calculatedColumnFormula>
    </tableColumn>
    <tableColumn id="29" xr3:uid="{E283ED83-4369-4605-83ED-FC5E397A8C1C}" name="Order Priority" dataDxfId="0">
      <calculatedColumnFormula>IF(J2&gt;700,"Critical",IF(J2&gt;300,"High","Normal"))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F8D6E-9FB6-4A49-A48E-03E4A9CA923F}">
  <dimension ref="A1:AC101"/>
  <sheetViews>
    <sheetView topLeftCell="L1" zoomScaleNormal="100" workbookViewId="0">
      <selection activeCell="O8" sqref="A2:AC101"/>
    </sheetView>
  </sheetViews>
  <sheetFormatPr defaultRowHeight="14.4" x14ac:dyDescent="0.3"/>
  <cols>
    <col min="1" max="1" width="13.77734375" customWidth="1"/>
    <col min="4" max="4" width="12.109375" customWidth="1"/>
    <col min="5" max="5" width="23.77734375" customWidth="1"/>
    <col min="6" max="6" width="19.21875" customWidth="1"/>
    <col min="7" max="7" width="23.33203125" customWidth="1"/>
    <col min="8" max="8" width="12.6640625" customWidth="1"/>
    <col min="9" max="9" width="11.88671875" customWidth="1"/>
    <col min="10" max="10" width="16.44140625" customWidth="1"/>
    <col min="11" max="11" width="15.21875" customWidth="1"/>
    <col min="12" max="12" width="16.77734375" customWidth="1"/>
    <col min="13" max="13" width="14.88671875" customWidth="1"/>
    <col min="14" max="14" width="15" customWidth="1"/>
    <col min="15" max="15" width="10.109375" customWidth="1"/>
    <col min="16" max="16" width="11.109375" customWidth="1"/>
    <col min="17" max="17" width="19.77734375" customWidth="1"/>
    <col min="18" max="18" width="23.6640625" customWidth="1"/>
    <col min="19" max="19" width="20.109375" customWidth="1"/>
    <col min="20" max="20" width="17.5546875" customWidth="1"/>
    <col min="21" max="21" width="12.88671875" customWidth="1"/>
    <col min="22" max="22" width="21.44140625" customWidth="1"/>
    <col min="25" max="25" width="13.6640625" customWidth="1"/>
    <col min="28" max="28" width="16.77734375" customWidth="1"/>
    <col min="29" max="29" width="15.88671875"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154</v>
      </c>
      <c r="Z1" t="s">
        <v>156</v>
      </c>
      <c r="AA1" t="s">
        <v>155</v>
      </c>
      <c r="AB1" t="s">
        <v>157</v>
      </c>
      <c r="AC1" t="s">
        <v>180</v>
      </c>
    </row>
    <row r="2" spans="1:29" x14ac:dyDescent="0.3">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c r="Y2" t="str">
        <f t="shared" ref="Y2:Y33" si="0">IF(J2&gt;H2,"Urgent","On Track")</f>
        <v>Urgent</v>
      </c>
      <c r="Z2" t="str">
        <f t="shared" ref="Z2:Z33" si="1">IF(P2&gt;20,"Delayed",IF(P2&lt;10,"Fast","Moderate"))</f>
        <v>Delayed</v>
      </c>
      <c r="AA2" t="str">
        <f t="shared" ref="AA2:AA33" si="2">IF(H2&lt;20,"High",IF(H2&lt;50,"Medium","Low"))</f>
        <v>Low</v>
      </c>
      <c r="AB2" s="11" t="str">
        <f t="shared" ref="AB2:AB33" si="3">IF(T2="Pass","Approved","Review Required")</f>
        <v>Review Required</v>
      </c>
      <c r="AC2" s="11" t="str">
        <f t="shared" ref="AC2:AC33" si="4">IF(J2&gt;700,"Critical",IF(J2&gt;300,"High","Normal"))</f>
        <v>Normal</v>
      </c>
    </row>
    <row r="3" spans="1:29" x14ac:dyDescent="0.3">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c r="Y3" t="str">
        <f t="shared" si="0"/>
        <v>On Track</v>
      </c>
      <c r="Z3" t="str">
        <f t="shared" si="1"/>
        <v>Delayed</v>
      </c>
      <c r="AA3" t="str">
        <f t="shared" si="2"/>
        <v>Low</v>
      </c>
      <c r="AB3" s="11" t="str">
        <f t="shared" si="3"/>
        <v>Review Required</v>
      </c>
      <c r="AC3" s="11" t="str">
        <f t="shared" si="4"/>
        <v>Normal</v>
      </c>
    </row>
    <row r="4" spans="1:29" x14ac:dyDescent="0.3">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c r="Y4" t="str">
        <f t="shared" si="0"/>
        <v>Urgent</v>
      </c>
      <c r="Z4" t="str">
        <f t="shared" si="1"/>
        <v>Moderate</v>
      </c>
      <c r="AA4" t="str">
        <f t="shared" si="2"/>
        <v>High</v>
      </c>
      <c r="AB4" s="11" t="str">
        <f t="shared" si="3"/>
        <v>Review Required</v>
      </c>
      <c r="AC4" s="11" t="str">
        <f t="shared" si="4"/>
        <v>Normal</v>
      </c>
    </row>
    <row r="5" spans="1:29" x14ac:dyDescent="0.3">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c r="Y5" t="str">
        <f t="shared" si="0"/>
        <v>Urgent</v>
      </c>
      <c r="Z5" t="str">
        <f t="shared" si="1"/>
        <v>Delayed</v>
      </c>
      <c r="AA5" t="str">
        <f t="shared" si="2"/>
        <v>Medium</v>
      </c>
      <c r="AB5" s="11" t="str">
        <f t="shared" si="3"/>
        <v>Review Required</v>
      </c>
      <c r="AC5" s="11" t="str">
        <f t="shared" si="4"/>
        <v>Normal</v>
      </c>
    </row>
    <row r="6" spans="1:29" x14ac:dyDescent="0.3">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c r="Y6" t="str">
        <f t="shared" si="0"/>
        <v>Urgent</v>
      </c>
      <c r="Z6" t="str">
        <f t="shared" si="1"/>
        <v>Fast</v>
      </c>
      <c r="AA6" t="str">
        <f t="shared" si="2"/>
        <v>High</v>
      </c>
      <c r="AB6" s="11" t="str">
        <f t="shared" si="3"/>
        <v>Review Required</v>
      </c>
      <c r="AC6" s="11" t="str">
        <f t="shared" si="4"/>
        <v>Normal</v>
      </c>
    </row>
    <row r="7" spans="1:29" x14ac:dyDescent="0.3">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c r="Y7" t="str">
        <f t="shared" si="0"/>
        <v>On Track</v>
      </c>
      <c r="Z7" t="str">
        <f t="shared" si="1"/>
        <v>Moderate</v>
      </c>
      <c r="AA7" t="str">
        <f t="shared" si="2"/>
        <v>Low</v>
      </c>
      <c r="AB7" s="11" t="str">
        <f t="shared" si="3"/>
        <v>Review Required</v>
      </c>
      <c r="AC7" s="11" t="str">
        <f t="shared" si="4"/>
        <v>Normal</v>
      </c>
    </row>
    <row r="8" spans="1:29" x14ac:dyDescent="0.3">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c r="Y8" t="str">
        <f t="shared" si="0"/>
        <v>Urgent</v>
      </c>
      <c r="Z8" t="str">
        <f t="shared" si="1"/>
        <v>Moderate</v>
      </c>
      <c r="AA8" t="str">
        <f t="shared" si="2"/>
        <v>High</v>
      </c>
      <c r="AB8" s="11" t="str">
        <f t="shared" si="3"/>
        <v>Review Required</v>
      </c>
      <c r="AC8" s="11" t="str">
        <f t="shared" si="4"/>
        <v>Normal</v>
      </c>
    </row>
    <row r="9" spans="1:29" x14ac:dyDescent="0.3">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c r="Y9" t="str">
        <f t="shared" si="0"/>
        <v>On Track</v>
      </c>
      <c r="Z9" t="str">
        <f t="shared" si="1"/>
        <v>Delayed</v>
      </c>
      <c r="AA9" t="str">
        <f t="shared" si="2"/>
        <v>Low</v>
      </c>
      <c r="AB9" s="11" t="str">
        <f t="shared" si="3"/>
        <v>Review Required</v>
      </c>
      <c r="AC9" s="11" t="str">
        <f t="shared" si="4"/>
        <v>Normal</v>
      </c>
    </row>
    <row r="10" spans="1:29" x14ac:dyDescent="0.3">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c r="Y10" t="str">
        <f t="shared" si="0"/>
        <v>Urgent</v>
      </c>
      <c r="Z10" t="str">
        <f t="shared" si="1"/>
        <v>Moderate</v>
      </c>
      <c r="AA10" t="str">
        <f t="shared" si="2"/>
        <v>High</v>
      </c>
      <c r="AB10" s="11" t="str">
        <f t="shared" si="3"/>
        <v>Review Required</v>
      </c>
      <c r="AC10" s="11" t="str">
        <f t="shared" si="4"/>
        <v>Normal</v>
      </c>
    </row>
    <row r="11" spans="1:29" x14ac:dyDescent="0.3">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c r="Y11" t="str">
        <f t="shared" si="0"/>
        <v>Urgent</v>
      </c>
      <c r="Z11" t="str">
        <f t="shared" si="1"/>
        <v>Delayed</v>
      </c>
      <c r="AA11" t="str">
        <f t="shared" si="2"/>
        <v>High</v>
      </c>
      <c r="AB11" s="11" t="str">
        <f t="shared" si="3"/>
        <v>Review Required</v>
      </c>
      <c r="AC11" s="11" t="str">
        <f t="shared" si="4"/>
        <v>Normal</v>
      </c>
    </row>
    <row r="12" spans="1:29" x14ac:dyDescent="0.3">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c r="Y12" t="str">
        <f t="shared" si="0"/>
        <v>Urgent</v>
      </c>
      <c r="Z12" t="str">
        <f t="shared" si="1"/>
        <v>Moderate</v>
      </c>
      <c r="AA12" t="str">
        <f t="shared" si="2"/>
        <v>Low</v>
      </c>
      <c r="AB12" s="11" t="str">
        <f t="shared" si="3"/>
        <v>Approved</v>
      </c>
      <c r="AC12" s="11" t="str">
        <f t="shared" si="4"/>
        <v>Normal</v>
      </c>
    </row>
    <row r="13" spans="1:29" x14ac:dyDescent="0.3">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c r="Y13" t="str">
        <f t="shared" si="0"/>
        <v>Urgent</v>
      </c>
      <c r="Z13" t="str">
        <f t="shared" si="1"/>
        <v>Delayed</v>
      </c>
      <c r="AA13" t="str">
        <f t="shared" si="2"/>
        <v>Medium</v>
      </c>
      <c r="AB13" s="11" t="str">
        <f t="shared" si="3"/>
        <v>Review Required</v>
      </c>
      <c r="AC13" s="11" t="str">
        <f t="shared" si="4"/>
        <v>Normal</v>
      </c>
    </row>
    <row r="14" spans="1:29" x14ac:dyDescent="0.3">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c r="Y14" t="str">
        <f t="shared" si="0"/>
        <v>On Track</v>
      </c>
      <c r="Z14" t="str">
        <f t="shared" si="1"/>
        <v>Fast</v>
      </c>
      <c r="AA14" t="str">
        <f t="shared" si="2"/>
        <v>Low</v>
      </c>
      <c r="AB14" s="11" t="str">
        <f t="shared" si="3"/>
        <v>Review Required</v>
      </c>
      <c r="AC14" s="11" t="str">
        <f t="shared" si="4"/>
        <v>Normal</v>
      </c>
    </row>
    <row r="15" spans="1:29" x14ac:dyDescent="0.3">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c r="Y15" t="str">
        <f t="shared" si="0"/>
        <v>On Track</v>
      </c>
      <c r="Z15" t="str">
        <f t="shared" si="1"/>
        <v>Delayed</v>
      </c>
      <c r="AA15" t="str">
        <f t="shared" si="2"/>
        <v>Low</v>
      </c>
      <c r="AB15" s="11" t="str">
        <f t="shared" si="3"/>
        <v>Review Required</v>
      </c>
      <c r="AC15" s="11" t="str">
        <f t="shared" si="4"/>
        <v>Normal</v>
      </c>
    </row>
    <row r="16" spans="1:29" x14ac:dyDescent="0.3">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c r="Y16" t="str">
        <f t="shared" si="0"/>
        <v>Urgent</v>
      </c>
      <c r="Z16" t="str">
        <f t="shared" si="1"/>
        <v>Delayed</v>
      </c>
      <c r="AA16" t="str">
        <f t="shared" si="2"/>
        <v>Low</v>
      </c>
      <c r="AB16" s="11" t="str">
        <f t="shared" si="3"/>
        <v>Review Required</v>
      </c>
      <c r="AC16" s="11" t="str">
        <f t="shared" si="4"/>
        <v>Normal</v>
      </c>
    </row>
    <row r="17" spans="1:29" x14ac:dyDescent="0.3">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c r="Y17" t="str">
        <f t="shared" si="0"/>
        <v>Urgent</v>
      </c>
      <c r="Z17" t="str">
        <f t="shared" si="1"/>
        <v>Moderate</v>
      </c>
      <c r="AA17" t="str">
        <f t="shared" si="2"/>
        <v>High</v>
      </c>
      <c r="AB17" s="11" t="str">
        <f t="shared" si="3"/>
        <v>Approved</v>
      </c>
      <c r="AC17" s="11" t="str">
        <f t="shared" si="4"/>
        <v>Normal</v>
      </c>
    </row>
    <row r="18" spans="1:29" x14ac:dyDescent="0.3">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c r="Y18" t="str">
        <f t="shared" si="0"/>
        <v>Urgent</v>
      </c>
      <c r="Z18" t="str">
        <f t="shared" si="1"/>
        <v>Fast</v>
      </c>
      <c r="AA18" t="str">
        <f t="shared" si="2"/>
        <v>High</v>
      </c>
      <c r="AB18" s="11" t="str">
        <f t="shared" si="3"/>
        <v>Approved</v>
      </c>
      <c r="AC18" s="11" t="str">
        <f t="shared" si="4"/>
        <v>Normal</v>
      </c>
    </row>
    <row r="19" spans="1:29" x14ac:dyDescent="0.3">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c r="Y19" t="str">
        <f t="shared" si="0"/>
        <v>Urgent</v>
      </c>
      <c r="Z19" t="str">
        <f t="shared" si="1"/>
        <v>Fast</v>
      </c>
      <c r="AA19" t="str">
        <f t="shared" si="2"/>
        <v>Medium</v>
      </c>
      <c r="AB19" s="11" t="str">
        <f t="shared" si="3"/>
        <v>Review Required</v>
      </c>
      <c r="AC19" s="11" t="str">
        <f t="shared" si="4"/>
        <v>Normal</v>
      </c>
    </row>
    <row r="20" spans="1:29" x14ac:dyDescent="0.3">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c r="Y20" t="str">
        <f t="shared" si="0"/>
        <v>Urgent</v>
      </c>
      <c r="Z20" t="str">
        <f t="shared" si="1"/>
        <v>Moderate</v>
      </c>
      <c r="AA20" t="str">
        <f t="shared" si="2"/>
        <v>High</v>
      </c>
      <c r="AB20" s="11" t="str">
        <f t="shared" si="3"/>
        <v>Review Required</v>
      </c>
      <c r="AC20" s="11" t="str">
        <f t="shared" si="4"/>
        <v>Normal</v>
      </c>
    </row>
    <row r="21" spans="1:29" x14ac:dyDescent="0.3">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c r="Y21" t="str">
        <f t="shared" si="0"/>
        <v>Urgent</v>
      </c>
      <c r="Z21" t="str">
        <f t="shared" si="1"/>
        <v>Moderate</v>
      </c>
      <c r="AA21" t="str">
        <f t="shared" si="2"/>
        <v>Medium</v>
      </c>
      <c r="AB21" s="11" t="str">
        <f t="shared" si="3"/>
        <v>Review Required</v>
      </c>
      <c r="AC21" s="11" t="str">
        <f t="shared" si="4"/>
        <v>Normal</v>
      </c>
    </row>
    <row r="22" spans="1:29" x14ac:dyDescent="0.3">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c r="Y22" t="str">
        <f t="shared" si="0"/>
        <v>Urgent</v>
      </c>
      <c r="Z22" t="str">
        <f t="shared" si="1"/>
        <v>Delayed</v>
      </c>
      <c r="AA22" t="str">
        <f t="shared" si="2"/>
        <v>Medium</v>
      </c>
      <c r="AB22" s="11" t="str">
        <f t="shared" si="3"/>
        <v>Approved</v>
      </c>
      <c r="AC22" s="11" t="str">
        <f t="shared" si="4"/>
        <v>Normal</v>
      </c>
    </row>
    <row r="23" spans="1:29" x14ac:dyDescent="0.3">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c r="Y23" t="str">
        <f t="shared" si="0"/>
        <v>On Track</v>
      </c>
      <c r="Z23" t="str">
        <f t="shared" si="1"/>
        <v>Moderate</v>
      </c>
      <c r="AA23" t="str">
        <f t="shared" si="2"/>
        <v>Low</v>
      </c>
      <c r="AB23" s="11" t="str">
        <f t="shared" si="3"/>
        <v>Review Required</v>
      </c>
      <c r="AC23" s="11" t="str">
        <f t="shared" si="4"/>
        <v>Normal</v>
      </c>
    </row>
    <row r="24" spans="1:29" x14ac:dyDescent="0.3">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c r="Y24" t="str">
        <f t="shared" si="0"/>
        <v>On Track</v>
      </c>
      <c r="Z24" t="str">
        <f t="shared" si="1"/>
        <v>Delayed</v>
      </c>
      <c r="AA24" t="str">
        <f t="shared" si="2"/>
        <v>Low</v>
      </c>
      <c r="AB24" s="11" t="str">
        <f t="shared" si="3"/>
        <v>Review Required</v>
      </c>
      <c r="AC24" s="11" t="str">
        <f t="shared" si="4"/>
        <v>Normal</v>
      </c>
    </row>
    <row r="25" spans="1:29" x14ac:dyDescent="0.3">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c r="Y25" t="str">
        <f t="shared" si="0"/>
        <v>On Track</v>
      </c>
      <c r="Z25" t="str">
        <f t="shared" si="1"/>
        <v>Moderate</v>
      </c>
      <c r="AA25" t="str">
        <f t="shared" si="2"/>
        <v>Low</v>
      </c>
      <c r="AB25" s="11" t="str">
        <f t="shared" si="3"/>
        <v>Review Required</v>
      </c>
      <c r="AC25" s="11" t="str">
        <f t="shared" si="4"/>
        <v>Normal</v>
      </c>
    </row>
    <row r="26" spans="1:29" x14ac:dyDescent="0.3">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c r="Y26" t="str">
        <f t="shared" si="0"/>
        <v>On Track</v>
      </c>
      <c r="Z26" t="str">
        <f t="shared" si="1"/>
        <v>Delayed</v>
      </c>
      <c r="AA26" t="str">
        <f t="shared" si="2"/>
        <v>High</v>
      </c>
      <c r="AB26" s="11" t="str">
        <f t="shared" si="3"/>
        <v>Review Required</v>
      </c>
      <c r="AC26" s="11" t="str">
        <f t="shared" si="4"/>
        <v>Normal</v>
      </c>
    </row>
    <row r="27" spans="1:29" x14ac:dyDescent="0.3">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c r="Y27" t="str">
        <f t="shared" si="0"/>
        <v>On Track</v>
      </c>
      <c r="Z27" t="str">
        <f t="shared" si="1"/>
        <v>Moderate</v>
      </c>
      <c r="AA27" t="str">
        <f t="shared" si="2"/>
        <v>Low</v>
      </c>
      <c r="AB27" s="11" t="str">
        <f t="shared" si="3"/>
        <v>Review Required</v>
      </c>
      <c r="AC27" s="11" t="str">
        <f t="shared" si="4"/>
        <v>Normal</v>
      </c>
    </row>
    <row r="28" spans="1:29" x14ac:dyDescent="0.3">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c r="Y28" t="str">
        <f t="shared" si="0"/>
        <v>On Track</v>
      </c>
      <c r="Z28" t="str">
        <f t="shared" si="1"/>
        <v>Delayed</v>
      </c>
      <c r="AA28" t="str">
        <f t="shared" si="2"/>
        <v>Low</v>
      </c>
      <c r="AB28" s="11" t="str">
        <f t="shared" si="3"/>
        <v>Approved</v>
      </c>
      <c r="AC28" s="11" t="str">
        <f t="shared" si="4"/>
        <v>Normal</v>
      </c>
    </row>
    <row r="29" spans="1:29" x14ac:dyDescent="0.3">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c r="Y29" t="str">
        <f t="shared" si="0"/>
        <v>Urgent</v>
      </c>
      <c r="Z29" t="str">
        <f t="shared" si="1"/>
        <v>Delayed</v>
      </c>
      <c r="AA29" t="str">
        <f t="shared" si="2"/>
        <v>Medium</v>
      </c>
      <c r="AB29" s="11" t="str">
        <f t="shared" si="3"/>
        <v>Review Required</v>
      </c>
      <c r="AC29" s="11" t="str">
        <f t="shared" si="4"/>
        <v>Normal</v>
      </c>
    </row>
    <row r="30" spans="1:29" x14ac:dyDescent="0.3">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c r="Y30" t="str">
        <f t="shared" si="0"/>
        <v>On Track</v>
      </c>
      <c r="Z30" t="str">
        <f t="shared" si="1"/>
        <v>Moderate</v>
      </c>
      <c r="AA30" t="str">
        <f t="shared" si="2"/>
        <v>Medium</v>
      </c>
      <c r="AB30" s="11" t="str">
        <f t="shared" si="3"/>
        <v>Review Required</v>
      </c>
      <c r="AC30" s="11" t="str">
        <f t="shared" si="4"/>
        <v>Normal</v>
      </c>
    </row>
    <row r="31" spans="1:29" x14ac:dyDescent="0.3">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c r="Y31" t="str">
        <f t="shared" si="0"/>
        <v>Urgent</v>
      </c>
      <c r="Z31" t="str">
        <f t="shared" si="1"/>
        <v>Moderate</v>
      </c>
      <c r="AA31" t="str">
        <f t="shared" si="2"/>
        <v>Medium</v>
      </c>
      <c r="AB31" s="11" t="str">
        <f t="shared" si="3"/>
        <v>Approved</v>
      </c>
      <c r="AC31" s="11" t="str">
        <f t="shared" si="4"/>
        <v>Normal</v>
      </c>
    </row>
    <row r="32" spans="1:29" x14ac:dyDescent="0.3">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c r="Y32" t="str">
        <f t="shared" si="0"/>
        <v>On Track</v>
      </c>
      <c r="Z32" t="str">
        <f t="shared" si="1"/>
        <v>Delayed</v>
      </c>
      <c r="AA32" t="str">
        <f t="shared" si="2"/>
        <v>Low</v>
      </c>
      <c r="AB32" s="11" t="str">
        <f t="shared" si="3"/>
        <v>Review Required</v>
      </c>
      <c r="AC32" s="11" t="str">
        <f t="shared" si="4"/>
        <v>Normal</v>
      </c>
    </row>
    <row r="33" spans="1:29" x14ac:dyDescent="0.3">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c r="Y33" t="str">
        <f t="shared" si="0"/>
        <v>Urgent</v>
      </c>
      <c r="Z33" t="str">
        <f t="shared" si="1"/>
        <v>Delayed</v>
      </c>
      <c r="AA33" t="str">
        <f t="shared" si="2"/>
        <v>High</v>
      </c>
      <c r="AB33" s="11" t="str">
        <f t="shared" si="3"/>
        <v>Review Required</v>
      </c>
      <c r="AC33" s="11" t="str">
        <f t="shared" si="4"/>
        <v>Normal</v>
      </c>
    </row>
    <row r="34" spans="1:29" x14ac:dyDescent="0.3">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c r="Y34" t="str">
        <f t="shared" ref="Y34:Y65" si="5">IF(J34&gt;H34,"Urgent","On Track")</f>
        <v>On Track</v>
      </c>
      <c r="Z34" t="str">
        <f t="shared" ref="Z34:Z65" si="6">IF(P34&gt;20,"Delayed",IF(P34&lt;10,"Fast","Moderate"))</f>
        <v>Delayed</v>
      </c>
      <c r="AA34" t="str">
        <f t="shared" ref="AA34:AA65" si="7">IF(H34&lt;20,"High",IF(H34&lt;50,"Medium","Low"))</f>
        <v>Low</v>
      </c>
      <c r="AB34" s="11" t="str">
        <f t="shared" ref="AB34:AB65" si="8">IF(T34="Pass","Approved","Review Required")</f>
        <v>Approved</v>
      </c>
      <c r="AC34" s="11" t="str">
        <f t="shared" ref="AC34:AC65" si="9">IF(J34&gt;700,"Critical",IF(J34&gt;300,"High","Normal"))</f>
        <v>Normal</v>
      </c>
    </row>
    <row r="35" spans="1:29" x14ac:dyDescent="0.3">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c r="Y35" t="str">
        <f t="shared" si="5"/>
        <v>Urgent</v>
      </c>
      <c r="Z35" t="str">
        <f t="shared" si="6"/>
        <v>Fast</v>
      </c>
      <c r="AA35" t="str">
        <f t="shared" si="7"/>
        <v>High</v>
      </c>
      <c r="AB35" s="11" t="str">
        <f t="shared" si="8"/>
        <v>Review Required</v>
      </c>
      <c r="AC35" s="11" t="str">
        <f t="shared" si="9"/>
        <v>Normal</v>
      </c>
    </row>
    <row r="36" spans="1:29" x14ac:dyDescent="0.3">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c r="Y36" t="str">
        <f t="shared" si="5"/>
        <v>Urgent</v>
      </c>
      <c r="Z36" t="str">
        <f t="shared" si="6"/>
        <v>Fast</v>
      </c>
      <c r="AA36" t="str">
        <f t="shared" si="7"/>
        <v>High</v>
      </c>
      <c r="AB36" s="11" t="str">
        <f t="shared" si="8"/>
        <v>Approved</v>
      </c>
      <c r="AC36" s="11" t="str">
        <f t="shared" si="9"/>
        <v>Normal</v>
      </c>
    </row>
    <row r="37" spans="1:29" x14ac:dyDescent="0.3">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c r="Y37" t="str">
        <f t="shared" si="5"/>
        <v>Urgent</v>
      </c>
      <c r="Z37" t="str">
        <f t="shared" si="6"/>
        <v>Fast</v>
      </c>
      <c r="AA37" t="str">
        <f t="shared" si="7"/>
        <v>Medium</v>
      </c>
      <c r="AB37" s="11" t="str">
        <f t="shared" si="8"/>
        <v>Approved</v>
      </c>
      <c r="AC37" s="11" t="str">
        <f t="shared" si="9"/>
        <v>Normal</v>
      </c>
    </row>
    <row r="38" spans="1:29" x14ac:dyDescent="0.3">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c r="Y38" t="str">
        <f t="shared" si="5"/>
        <v>Urgent</v>
      </c>
      <c r="Z38" t="str">
        <f t="shared" si="6"/>
        <v>Delayed</v>
      </c>
      <c r="AA38" t="str">
        <f t="shared" si="7"/>
        <v>High</v>
      </c>
      <c r="AB38" s="11" t="str">
        <f t="shared" si="8"/>
        <v>Review Required</v>
      </c>
      <c r="AC38" s="11" t="str">
        <f t="shared" si="9"/>
        <v>Normal</v>
      </c>
    </row>
    <row r="39" spans="1:29" x14ac:dyDescent="0.3">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c r="Y39" t="str">
        <f t="shared" si="5"/>
        <v>On Track</v>
      </c>
      <c r="Z39" t="str">
        <f t="shared" si="6"/>
        <v>Delayed</v>
      </c>
      <c r="AA39" t="str">
        <f t="shared" si="7"/>
        <v>Medium</v>
      </c>
      <c r="AB39" s="11" t="str">
        <f t="shared" si="8"/>
        <v>Review Required</v>
      </c>
      <c r="AC39" s="11" t="str">
        <f t="shared" si="9"/>
        <v>Normal</v>
      </c>
    </row>
    <row r="40" spans="1:29" x14ac:dyDescent="0.3">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c r="Y40" t="str">
        <f t="shared" si="5"/>
        <v>Urgent</v>
      </c>
      <c r="Z40" t="str">
        <f t="shared" si="6"/>
        <v>Moderate</v>
      </c>
      <c r="AA40" t="str">
        <f t="shared" si="7"/>
        <v>Low</v>
      </c>
      <c r="AB40" s="11" t="str">
        <f t="shared" si="8"/>
        <v>Review Required</v>
      </c>
      <c r="AC40" s="11" t="str">
        <f t="shared" si="9"/>
        <v>Normal</v>
      </c>
    </row>
    <row r="41" spans="1:29" x14ac:dyDescent="0.3">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c r="Y41" t="str">
        <f t="shared" si="5"/>
        <v>On Track</v>
      </c>
      <c r="Z41" t="str">
        <f t="shared" si="6"/>
        <v>Delayed</v>
      </c>
      <c r="AA41" t="str">
        <f t="shared" si="7"/>
        <v>Low</v>
      </c>
      <c r="AB41" s="11" t="str">
        <f t="shared" si="8"/>
        <v>Review Required</v>
      </c>
      <c r="AC41" s="11" t="str">
        <f t="shared" si="9"/>
        <v>Normal</v>
      </c>
    </row>
    <row r="42" spans="1:29" x14ac:dyDescent="0.3">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c r="Y42" t="str">
        <f t="shared" si="5"/>
        <v>On Track</v>
      </c>
      <c r="Z42" t="str">
        <f t="shared" si="6"/>
        <v>Moderate</v>
      </c>
      <c r="AA42" t="str">
        <f t="shared" si="7"/>
        <v>Low</v>
      </c>
      <c r="AB42" s="11" t="str">
        <f t="shared" si="8"/>
        <v>Review Required</v>
      </c>
      <c r="AC42" s="11" t="str">
        <f t="shared" si="9"/>
        <v>Normal</v>
      </c>
    </row>
    <row r="43" spans="1:29" x14ac:dyDescent="0.3">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c r="Y43" t="str">
        <f t="shared" si="5"/>
        <v>On Track</v>
      </c>
      <c r="Z43" t="str">
        <f t="shared" si="6"/>
        <v>Moderate</v>
      </c>
      <c r="AA43" t="str">
        <f t="shared" si="7"/>
        <v>Low</v>
      </c>
      <c r="AB43" s="11" t="str">
        <f t="shared" si="8"/>
        <v>Review Required</v>
      </c>
      <c r="AC43" s="11" t="str">
        <f t="shared" si="9"/>
        <v>Normal</v>
      </c>
    </row>
    <row r="44" spans="1:29" x14ac:dyDescent="0.3">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c r="Y44" t="str">
        <f t="shared" si="5"/>
        <v>Urgent</v>
      </c>
      <c r="Z44" t="str">
        <f t="shared" si="6"/>
        <v>Delayed</v>
      </c>
      <c r="AA44" t="str">
        <f t="shared" si="7"/>
        <v>Medium</v>
      </c>
      <c r="AB44" s="11" t="str">
        <f t="shared" si="8"/>
        <v>Review Required</v>
      </c>
      <c r="AC44" s="11" t="str">
        <f t="shared" si="9"/>
        <v>Normal</v>
      </c>
    </row>
    <row r="45" spans="1:29" x14ac:dyDescent="0.3">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c r="Y45" t="str">
        <f t="shared" si="5"/>
        <v>Urgent</v>
      </c>
      <c r="Z45" t="str">
        <f t="shared" si="6"/>
        <v>Fast</v>
      </c>
      <c r="AA45" t="str">
        <f t="shared" si="7"/>
        <v>Medium</v>
      </c>
      <c r="AB45" s="11" t="str">
        <f t="shared" si="8"/>
        <v>Review Required</v>
      </c>
      <c r="AC45" s="11" t="str">
        <f t="shared" si="9"/>
        <v>Normal</v>
      </c>
    </row>
    <row r="46" spans="1:29" x14ac:dyDescent="0.3">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c r="Y46" t="str">
        <f t="shared" si="5"/>
        <v>Urgent</v>
      </c>
      <c r="Z46" t="str">
        <f t="shared" si="6"/>
        <v>Fast</v>
      </c>
      <c r="AA46" t="str">
        <f t="shared" si="7"/>
        <v>High</v>
      </c>
      <c r="AB46" s="11" t="str">
        <f t="shared" si="8"/>
        <v>Review Required</v>
      </c>
      <c r="AC46" s="11" t="str">
        <f t="shared" si="9"/>
        <v>Normal</v>
      </c>
    </row>
    <row r="47" spans="1:29" x14ac:dyDescent="0.3">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c r="Y47" t="str">
        <f t="shared" si="5"/>
        <v>On Track</v>
      </c>
      <c r="Z47" t="str">
        <f t="shared" si="6"/>
        <v>Delayed</v>
      </c>
      <c r="AA47" t="str">
        <f t="shared" si="7"/>
        <v>Low</v>
      </c>
      <c r="AB47" s="11" t="str">
        <f t="shared" si="8"/>
        <v>Approved</v>
      </c>
      <c r="AC47" s="11" t="str">
        <f t="shared" si="9"/>
        <v>Normal</v>
      </c>
    </row>
    <row r="48" spans="1:29" x14ac:dyDescent="0.3">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c r="Y48" t="str">
        <f t="shared" si="5"/>
        <v>On Track</v>
      </c>
      <c r="Z48" t="str">
        <f t="shared" si="6"/>
        <v>Moderate</v>
      </c>
      <c r="AA48" t="str">
        <f t="shared" si="7"/>
        <v>Low</v>
      </c>
      <c r="AB48" s="11" t="str">
        <f t="shared" si="8"/>
        <v>Review Required</v>
      </c>
      <c r="AC48" s="11" t="str">
        <f t="shared" si="9"/>
        <v>Normal</v>
      </c>
    </row>
    <row r="49" spans="1:29" x14ac:dyDescent="0.3">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c r="Y49" t="str">
        <f t="shared" si="5"/>
        <v>Urgent</v>
      </c>
      <c r="Z49" t="str">
        <f t="shared" si="6"/>
        <v>Moderate</v>
      </c>
      <c r="AA49" t="str">
        <f t="shared" si="7"/>
        <v>High</v>
      </c>
      <c r="AB49" s="11" t="str">
        <f t="shared" si="8"/>
        <v>Review Required</v>
      </c>
      <c r="AC49" s="11" t="str">
        <f t="shared" si="9"/>
        <v>Normal</v>
      </c>
    </row>
    <row r="50" spans="1:29" x14ac:dyDescent="0.3">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c r="Y50" t="str">
        <f t="shared" si="5"/>
        <v>On Track</v>
      </c>
      <c r="Z50" t="str">
        <f t="shared" si="6"/>
        <v>Fast</v>
      </c>
      <c r="AA50" t="str">
        <f t="shared" si="7"/>
        <v>Medium</v>
      </c>
      <c r="AB50" s="11" t="str">
        <f t="shared" si="8"/>
        <v>Review Required</v>
      </c>
      <c r="AC50" s="11" t="str">
        <f t="shared" si="9"/>
        <v>Normal</v>
      </c>
    </row>
    <row r="51" spans="1:29" x14ac:dyDescent="0.3">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c r="Y51" t="str">
        <f t="shared" si="5"/>
        <v>On Track</v>
      </c>
      <c r="Z51" t="str">
        <f t="shared" si="6"/>
        <v>Delayed</v>
      </c>
      <c r="AA51" t="str">
        <f t="shared" si="7"/>
        <v>Low</v>
      </c>
      <c r="AB51" s="11" t="str">
        <f t="shared" si="8"/>
        <v>Approved</v>
      </c>
      <c r="AC51" s="11" t="str">
        <f t="shared" si="9"/>
        <v>Normal</v>
      </c>
    </row>
    <row r="52" spans="1:29" x14ac:dyDescent="0.3">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c r="Y52" t="str">
        <f t="shared" si="5"/>
        <v>Urgent</v>
      </c>
      <c r="Z52" t="str">
        <f t="shared" si="6"/>
        <v>Moderate</v>
      </c>
      <c r="AA52" t="str">
        <f t="shared" si="7"/>
        <v>Medium</v>
      </c>
      <c r="AB52" s="11" t="str">
        <f t="shared" si="8"/>
        <v>Review Required</v>
      </c>
      <c r="AC52" s="11" t="str">
        <f t="shared" si="9"/>
        <v>Normal</v>
      </c>
    </row>
    <row r="53" spans="1:29" x14ac:dyDescent="0.3">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c r="Y53" t="str">
        <f t="shared" si="5"/>
        <v>On Track</v>
      </c>
      <c r="Z53" t="str">
        <f t="shared" si="6"/>
        <v>Moderate</v>
      </c>
      <c r="AA53" t="str">
        <f t="shared" si="7"/>
        <v>Low</v>
      </c>
      <c r="AB53" s="11" t="str">
        <f t="shared" si="8"/>
        <v>Review Required</v>
      </c>
      <c r="AC53" s="11" t="str">
        <f t="shared" si="9"/>
        <v>Normal</v>
      </c>
    </row>
    <row r="54" spans="1:29" x14ac:dyDescent="0.3">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c r="Y54" t="str">
        <f t="shared" si="5"/>
        <v>On Track</v>
      </c>
      <c r="Z54" t="str">
        <f t="shared" si="6"/>
        <v>Moderate</v>
      </c>
      <c r="AA54" t="str">
        <f t="shared" si="7"/>
        <v>Low</v>
      </c>
      <c r="AB54" s="11" t="str">
        <f t="shared" si="8"/>
        <v>Review Required</v>
      </c>
      <c r="AC54" s="11" t="str">
        <f t="shared" si="9"/>
        <v>Normal</v>
      </c>
    </row>
    <row r="55" spans="1:29" x14ac:dyDescent="0.3">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c r="Y55" t="str">
        <f t="shared" si="5"/>
        <v>On Track</v>
      </c>
      <c r="Z55" t="str">
        <f t="shared" si="6"/>
        <v>Fast</v>
      </c>
      <c r="AA55" t="str">
        <f t="shared" si="7"/>
        <v>Low</v>
      </c>
      <c r="AB55" s="11" t="str">
        <f t="shared" si="8"/>
        <v>Review Required</v>
      </c>
      <c r="AC55" s="11" t="str">
        <f t="shared" si="9"/>
        <v>Normal</v>
      </c>
    </row>
    <row r="56" spans="1:29" x14ac:dyDescent="0.3">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c r="Y56" t="str">
        <f t="shared" si="5"/>
        <v>Urgent</v>
      </c>
      <c r="Z56" t="str">
        <f t="shared" si="6"/>
        <v>Delayed</v>
      </c>
      <c r="AA56" t="str">
        <f t="shared" si="7"/>
        <v>Medium</v>
      </c>
      <c r="AB56" s="11" t="str">
        <f t="shared" si="8"/>
        <v>Approved</v>
      </c>
      <c r="AC56" s="11" t="str">
        <f t="shared" si="9"/>
        <v>Normal</v>
      </c>
    </row>
    <row r="57" spans="1:29" x14ac:dyDescent="0.3">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c r="Y57" t="str">
        <f t="shared" si="5"/>
        <v>On Track</v>
      </c>
      <c r="Z57" t="str">
        <f t="shared" si="6"/>
        <v>Delayed</v>
      </c>
      <c r="AA57" t="str">
        <f t="shared" si="7"/>
        <v>Low</v>
      </c>
      <c r="AB57" s="11" t="str">
        <f t="shared" si="8"/>
        <v>Review Required</v>
      </c>
      <c r="AC57" s="11" t="str">
        <f t="shared" si="9"/>
        <v>Normal</v>
      </c>
    </row>
    <row r="58" spans="1:29" x14ac:dyDescent="0.3">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c r="Y58" t="str">
        <f t="shared" si="5"/>
        <v>Urgent</v>
      </c>
      <c r="Z58" t="str">
        <f t="shared" si="6"/>
        <v>Delayed</v>
      </c>
      <c r="AA58" t="str">
        <f t="shared" si="7"/>
        <v>Medium</v>
      </c>
      <c r="AB58" s="11" t="str">
        <f t="shared" si="8"/>
        <v>Approved</v>
      </c>
      <c r="AC58" s="11" t="str">
        <f t="shared" si="9"/>
        <v>Normal</v>
      </c>
    </row>
    <row r="59" spans="1:29" x14ac:dyDescent="0.3">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c r="Y59" t="str">
        <f t="shared" si="5"/>
        <v>Urgent</v>
      </c>
      <c r="Z59" t="str">
        <f t="shared" si="6"/>
        <v>Delayed</v>
      </c>
      <c r="AA59" t="str">
        <f t="shared" si="7"/>
        <v>High</v>
      </c>
      <c r="AB59" s="11" t="str">
        <f t="shared" si="8"/>
        <v>Review Required</v>
      </c>
      <c r="AC59" s="11" t="str">
        <f t="shared" si="9"/>
        <v>Normal</v>
      </c>
    </row>
    <row r="60" spans="1:29" x14ac:dyDescent="0.3">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c r="Y60" t="str">
        <f t="shared" si="5"/>
        <v>Urgent</v>
      </c>
      <c r="Z60" t="str">
        <f t="shared" si="6"/>
        <v>Moderate</v>
      </c>
      <c r="AA60" t="str">
        <f t="shared" si="7"/>
        <v>High</v>
      </c>
      <c r="AB60" s="11" t="str">
        <f t="shared" si="8"/>
        <v>Review Required</v>
      </c>
      <c r="AC60" s="11" t="str">
        <f t="shared" si="9"/>
        <v>Normal</v>
      </c>
    </row>
    <row r="61" spans="1:29" x14ac:dyDescent="0.3">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c r="Y61" t="str">
        <f t="shared" si="5"/>
        <v>On Track</v>
      </c>
      <c r="Z61" t="str">
        <f t="shared" si="6"/>
        <v>Moderate</v>
      </c>
      <c r="AA61" t="str">
        <f t="shared" si="7"/>
        <v>Low</v>
      </c>
      <c r="AB61" s="11" t="str">
        <f t="shared" si="8"/>
        <v>Review Required</v>
      </c>
      <c r="AC61" s="11" t="str">
        <f t="shared" si="9"/>
        <v>Normal</v>
      </c>
    </row>
    <row r="62" spans="1:29" x14ac:dyDescent="0.3">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c r="Y62" t="str">
        <f t="shared" si="5"/>
        <v>Urgent</v>
      </c>
      <c r="Z62" t="str">
        <f t="shared" si="6"/>
        <v>Delayed</v>
      </c>
      <c r="AA62" t="str">
        <f t="shared" si="7"/>
        <v>Medium</v>
      </c>
      <c r="AB62" s="11" t="str">
        <f t="shared" si="8"/>
        <v>Review Required</v>
      </c>
      <c r="AC62" s="11" t="str">
        <f t="shared" si="9"/>
        <v>Normal</v>
      </c>
    </row>
    <row r="63" spans="1:29" x14ac:dyDescent="0.3">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c r="Y63" t="str">
        <f t="shared" si="5"/>
        <v>Urgent</v>
      </c>
      <c r="Z63" t="str">
        <f t="shared" si="6"/>
        <v>Moderate</v>
      </c>
      <c r="AA63" t="str">
        <f t="shared" si="7"/>
        <v>Medium</v>
      </c>
      <c r="AB63" s="11" t="str">
        <f t="shared" si="8"/>
        <v>Review Required</v>
      </c>
      <c r="AC63" s="11" t="str">
        <f t="shared" si="9"/>
        <v>Normal</v>
      </c>
    </row>
    <row r="64" spans="1:29" x14ac:dyDescent="0.3">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c r="Y64" t="str">
        <f t="shared" si="5"/>
        <v>On Track</v>
      </c>
      <c r="Z64" t="str">
        <f t="shared" si="6"/>
        <v>Moderate</v>
      </c>
      <c r="AA64" t="str">
        <f t="shared" si="7"/>
        <v>Low</v>
      </c>
      <c r="AB64" s="11" t="str">
        <f t="shared" si="8"/>
        <v>Approved</v>
      </c>
      <c r="AC64" s="11" t="str">
        <f t="shared" si="9"/>
        <v>Normal</v>
      </c>
    </row>
    <row r="65" spans="1:29" x14ac:dyDescent="0.3">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c r="Y65" t="str">
        <f t="shared" si="5"/>
        <v>On Track</v>
      </c>
      <c r="Z65" t="str">
        <f t="shared" si="6"/>
        <v>Moderate</v>
      </c>
      <c r="AA65" t="str">
        <f t="shared" si="7"/>
        <v>Low</v>
      </c>
      <c r="AB65" s="11" t="str">
        <f t="shared" si="8"/>
        <v>Review Required</v>
      </c>
      <c r="AC65" s="11" t="str">
        <f t="shared" si="9"/>
        <v>Normal</v>
      </c>
    </row>
    <row r="66" spans="1:29" x14ac:dyDescent="0.3">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c r="Y66" t="str">
        <f t="shared" ref="Y66:Y101" si="10">IF(J66&gt;H66,"Urgent","On Track")</f>
        <v>Urgent</v>
      </c>
      <c r="Z66" t="str">
        <f t="shared" ref="Z66:Z101" si="11">IF(P66&gt;20,"Delayed",IF(P66&lt;10,"Fast","Moderate"))</f>
        <v>Moderate</v>
      </c>
      <c r="AA66" t="str">
        <f t="shared" ref="AA66:AA101" si="12">IF(H66&lt;20,"High",IF(H66&lt;50,"Medium","Low"))</f>
        <v>Low</v>
      </c>
      <c r="AB66" s="11" t="str">
        <f t="shared" ref="AB66:AB101" si="13">IF(T66="Pass","Approved","Review Required")</f>
        <v>Review Required</v>
      </c>
      <c r="AC66" s="11" t="str">
        <f t="shared" ref="AC66:AC101" si="14">IF(J66&gt;700,"Critical",IF(J66&gt;300,"High","Normal"))</f>
        <v>Normal</v>
      </c>
    </row>
    <row r="67" spans="1:29" x14ac:dyDescent="0.3">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c r="Y67" t="str">
        <f t="shared" si="10"/>
        <v>On Track</v>
      </c>
      <c r="Z67" t="str">
        <f t="shared" si="11"/>
        <v>Moderate</v>
      </c>
      <c r="AA67" t="str">
        <f t="shared" si="12"/>
        <v>Low</v>
      </c>
      <c r="AB67" s="11" t="str">
        <f t="shared" si="13"/>
        <v>Review Required</v>
      </c>
      <c r="AC67" s="11" t="str">
        <f t="shared" si="14"/>
        <v>Normal</v>
      </c>
    </row>
    <row r="68" spans="1:29" x14ac:dyDescent="0.3">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c r="Y68" t="str">
        <f t="shared" si="10"/>
        <v>Urgent</v>
      </c>
      <c r="Z68" t="str">
        <f t="shared" si="11"/>
        <v>Delayed</v>
      </c>
      <c r="AA68" t="str">
        <f t="shared" si="12"/>
        <v>High</v>
      </c>
      <c r="AB68" s="11" t="str">
        <f t="shared" si="13"/>
        <v>Review Required</v>
      </c>
      <c r="AC68" s="11" t="str">
        <f t="shared" si="14"/>
        <v>Normal</v>
      </c>
    </row>
    <row r="69" spans="1:29" x14ac:dyDescent="0.3">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c r="Y69" t="str">
        <f t="shared" si="10"/>
        <v>Urgent</v>
      </c>
      <c r="Z69" t="str">
        <f t="shared" si="11"/>
        <v>Moderate</v>
      </c>
      <c r="AA69" t="str">
        <f t="shared" si="12"/>
        <v>High</v>
      </c>
      <c r="AB69" s="11" t="str">
        <f t="shared" si="13"/>
        <v>Approved</v>
      </c>
      <c r="AC69" s="11" t="str">
        <f t="shared" si="14"/>
        <v>Normal</v>
      </c>
    </row>
    <row r="70" spans="1:29" x14ac:dyDescent="0.3">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c r="Y70" t="str">
        <f t="shared" si="10"/>
        <v>Urgent</v>
      </c>
      <c r="Z70" t="str">
        <f t="shared" si="11"/>
        <v>Fast</v>
      </c>
      <c r="AA70" t="str">
        <f t="shared" si="12"/>
        <v>High</v>
      </c>
      <c r="AB70" s="11" t="str">
        <f t="shared" si="13"/>
        <v>Review Required</v>
      </c>
      <c r="AC70" s="11" t="str">
        <f t="shared" si="14"/>
        <v>Normal</v>
      </c>
    </row>
    <row r="71" spans="1:29" x14ac:dyDescent="0.3">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c r="Y71" t="str">
        <f t="shared" si="10"/>
        <v>On Track</v>
      </c>
      <c r="Z71" t="str">
        <f t="shared" si="11"/>
        <v>Fast</v>
      </c>
      <c r="AA71" t="str">
        <f t="shared" si="12"/>
        <v>Low</v>
      </c>
      <c r="AB71" s="11" t="str">
        <f t="shared" si="13"/>
        <v>Review Required</v>
      </c>
      <c r="AC71" s="11" t="str">
        <f t="shared" si="14"/>
        <v>Normal</v>
      </c>
    </row>
    <row r="72" spans="1:29" x14ac:dyDescent="0.3">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c r="Y72" t="str">
        <f t="shared" si="10"/>
        <v>Urgent</v>
      </c>
      <c r="Z72" t="str">
        <f t="shared" si="11"/>
        <v>Delayed</v>
      </c>
      <c r="AA72" t="str">
        <f t="shared" si="12"/>
        <v>High</v>
      </c>
      <c r="AB72" s="11" t="str">
        <f t="shared" si="13"/>
        <v>Approved</v>
      </c>
      <c r="AC72" s="11" t="str">
        <f t="shared" si="14"/>
        <v>Normal</v>
      </c>
    </row>
    <row r="73" spans="1:29" x14ac:dyDescent="0.3">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c r="Y73" t="str">
        <f t="shared" si="10"/>
        <v>On Track</v>
      </c>
      <c r="Z73" t="str">
        <f t="shared" si="11"/>
        <v>Fast</v>
      </c>
      <c r="AA73" t="str">
        <f t="shared" si="12"/>
        <v>Low</v>
      </c>
      <c r="AB73" s="11" t="str">
        <f t="shared" si="13"/>
        <v>Review Required</v>
      </c>
      <c r="AC73" s="11" t="str">
        <f t="shared" si="14"/>
        <v>Normal</v>
      </c>
    </row>
    <row r="74" spans="1:29" x14ac:dyDescent="0.3">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c r="Y74" t="str">
        <f t="shared" si="10"/>
        <v>Urgent</v>
      </c>
      <c r="Z74" t="str">
        <f t="shared" si="11"/>
        <v>Delayed</v>
      </c>
      <c r="AA74" t="str">
        <f t="shared" si="12"/>
        <v>Low</v>
      </c>
      <c r="AB74" s="11" t="str">
        <f t="shared" si="13"/>
        <v>Review Required</v>
      </c>
      <c r="AC74" s="11" t="str">
        <f t="shared" si="14"/>
        <v>Normal</v>
      </c>
    </row>
    <row r="75" spans="1:29" x14ac:dyDescent="0.3">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c r="Y75" t="str">
        <f t="shared" si="10"/>
        <v>Urgent</v>
      </c>
      <c r="Z75" t="str">
        <f t="shared" si="11"/>
        <v>Moderate</v>
      </c>
      <c r="AA75" t="str">
        <f t="shared" si="12"/>
        <v>High</v>
      </c>
      <c r="AB75" s="11" t="str">
        <f t="shared" si="13"/>
        <v>Review Required</v>
      </c>
      <c r="AC75" s="11" t="str">
        <f t="shared" si="14"/>
        <v>Normal</v>
      </c>
    </row>
    <row r="76" spans="1:29" x14ac:dyDescent="0.3">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c r="Y76" t="str">
        <f t="shared" si="10"/>
        <v>On Track</v>
      </c>
      <c r="Z76" t="str">
        <f t="shared" si="11"/>
        <v>Fast</v>
      </c>
      <c r="AA76" t="str">
        <f t="shared" si="12"/>
        <v>Medium</v>
      </c>
      <c r="AB76" s="11" t="str">
        <f t="shared" si="13"/>
        <v>Review Required</v>
      </c>
      <c r="AC76" s="11" t="str">
        <f t="shared" si="14"/>
        <v>Normal</v>
      </c>
    </row>
    <row r="77" spans="1:29" x14ac:dyDescent="0.3">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c r="Y77" t="str">
        <f t="shared" si="10"/>
        <v>Urgent</v>
      </c>
      <c r="Z77" t="str">
        <f t="shared" si="11"/>
        <v>Delayed</v>
      </c>
      <c r="AA77" t="str">
        <f t="shared" si="12"/>
        <v>High</v>
      </c>
      <c r="AB77" s="11" t="str">
        <f t="shared" si="13"/>
        <v>Approved</v>
      </c>
      <c r="AC77" s="11" t="str">
        <f t="shared" si="14"/>
        <v>Normal</v>
      </c>
    </row>
    <row r="78" spans="1:29" x14ac:dyDescent="0.3">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c r="Y78" t="str">
        <f t="shared" si="10"/>
        <v>On Track</v>
      </c>
      <c r="Z78" t="str">
        <f t="shared" si="11"/>
        <v>Delayed</v>
      </c>
      <c r="AA78" t="str">
        <f t="shared" si="12"/>
        <v>Medium</v>
      </c>
      <c r="AB78" s="11" t="str">
        <f t="shared" si="13"/>
        <v>Review Required</v>
      </c>
      <c r="AC78" s="11" t="str">
        <f t="shared" si="14"/>
        <v>Normal</v>
      </c>
    </row>
    <row r="79" spans="1:29" x14ac:dyDescent="0.3">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c r="Y79" t="str">
        <f t="shared" si="10"/>
        <v>On Track</v>
      </c>
      <c r="Z79" t="str">
        <f t="shared" si="11"/>
        <v>Delayed</v>
      </c>
      <c r="AA79" t="str">
        <f t="shared" si="12"/>
        <v>Low</v>
      </c>
      <c r="AB79" s="11" t="str">
        <f t="shared" si="13"/>
        <v>Approved</v>
      </c>
      <c r="AC79" s="11" t="str">
        <f t="shared" si="14"/>
        <v>Normal</v>
      </c>
    </row>
    <row r="80" spans="1:29" x14ac:dyDescent="0.3">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c r="Y80" t="str">
        <f t="shared" si="10"/>
        <v>Urgent</v>
      </c>
      <c r="Z80" t="str">
        <f t="shared" si="11"/>
        <v>Delayed</v>
      </c>
      <c r="AA80" t="str">
        <f t="shared" si="12"/>
        <v>High</v>
      </c>
      <c r="AB80" s="11" t="str">
        <f t="shared" si="13"/>
        <v>Review Required</v>
      </c>
      <c r="AC80" s="11" t="str">
        <f t="shared" si="14"/>
        <v>Normal</v>
      </c>
    </row>
    <row r="81" spans="1:29" x14ac:dyDescent="0.3">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c r="Y81" t="str">
        <f t="shared" si="10"/>
        <v>On Track</v>
      </c>
      <c r="Z81" t="str">
        <f t="shared" si="11"/>
        <v>Fast</v>
      </c>
      <c r="AA81" t="str">
        <f t="shared" si="12"/>
        <v>Medium</v>
      </c>
      <c r="AB81" s="11" t="str">
        <f t="shared" si="13"/>
        <v>Review Required</v>
      </c>
      <c r="AC81" s="11" t="str">
        <f t="shared" si="14"/>
        <v>Normal</v>
      </c>
    </row>
    <row r="82" spans="1:29" x14ac:dyDescent="0.3">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c r="Y82" t="str">
        <f t="shared" si="10"/>
        <v>Urgent</v>
      </c>
      <c r="Z82" t="str">
        <f t="shared" si="11"/>
        <v>Fast</v>
      </c>
      <c r="AA82" t="str">
        <f t="shared" si="12"/>
        <v>Medium</v>
      </c>
      <c r="AB82" s="11" t="str">
        <f t="shared" si="13"/>
        <v>Review Required</v>
      </c>
      <c r="AC82" s="11" t="str">
        <f t="shared" si="14"/>
        <v>Normal</v>
      </c>
    </row>
    <row r="83" spans="1:29" x14ac:dyDescent="0.3">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c r="Y83" t="str">
        <f t="shared" si="10"/>
        <v>On Track</v>
      </c>
      <c r="Z83" t="str">
        <f t="shared" si="11"/>
        <v>Delayed</v>
      </c>
      <c r="AA83" t="str">
        <f t="shared" si="12"/>
        <v>Medium</v>
      </c>
      <c r="AB83" s="11" t="str">
        <f t="shared" si="13"/>
        <v>Review Required</v>
      </c>
      <c r="AC83" s="11" t="str">
        <f t="shared" si="14"/>
        <v>Normal</v>
      </c>
    </row>
    <row r="84" spans="1:29" x14ac:dyDescent="0.3">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c r="Y84" t="str">
        <f t="shared" si="10"/>
        <v>Urgent</v>
      </c>
      <c r="Z84" t="str">
        <f t="shared" si="11"/>
        <v>Fast</v>
      </c>
      <c r="AA84" t="str">
        <f t="shared" si="12"/>
        <v>Medium</v>
      </c>
      <c r="AB84" s="11" t="str">
        <f t="shared" si="13"/>
        <v>Review Required</v>
      </c>
      <c r="AC84" s="11" t="str">
        <f t="shared" si="14"/>
        <v>Normal</v>
      </c>
    </row>
    <row r="85" spans="1:29" x14ac:dyDescent="0.3">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c r="Y85" t="str">
        <f t="shared" si="10"/>
        <v>On Track</v>
      </c>
      <c r="Z85" t="str">
        <f t="shared" si="11"/>
        <v>Moderate</v>
      </c>
      <c r="AA85" t="str">
        <f t="shared" si="12"/>
        <v>Low</v>
      </c>
      <c r="AB85" s="11" t="str">
        <f t="shared" si="13"/>
        <v>Review Required</v>
      </c>
      <c r="AC85" s="11" t="str">
        <f t="shared" si="14"/>
        <v>Normal</v>
      </c>
    </row>
    <row r="86" spans="1:29" x14ac:dyDescent="0.3">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c r="Y86" t="str">
        <f t="shared" si="10"/>
        <v>Urgent</v>
      </c>
      <c r="Z86" t="str">
        <f t="shared" si="11"/>
        <v>Delayed</v>
      </c>
      <c r="AA86" t="str">
        <f t="shared" si="12"/>
        <v>Low</v>
      </c>
      <c r="AB86" s="11" t="str">
        <f t="shared" si="13"/>
        <v>Approved</v>
      </c>
      <c r="AC86" s="11" t="str">
        <f t="shared" si="14"/>
        <v>Normal</v>
      </c>
    </row>
    <row r="87" spans="1:29" x14ac:dyDescent="0.3">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c r="Y87" t="str">
        <f t="shared" si="10"/>
        <v>Urgent</v>
      </c>
      <c r="Z87" t="str">
        <f t="shared" si="11"/>
        <v>Fast</v>
      </c>
      <c r="AA87" t="str">
        <f t="shared" si="12"/>
        <v>High</v>
      </c>
      <c r="AB87" s="11" t="str">
        <f t="shared" si="13"/>
        <v>Review Required</v>
      </c>
      <c r="AC87" s="11" t="str">
        <f t="shared" si="14"/>
        <v>Normal</v>
      </c>
    </row>
    <row r="88" spans="1:29" x14ac:dyDescent="0.3">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c r="Y88" t="str">
        <f t="shared" si="10"/>
        <v>On Track</v>
      </c>
      <c r="Z88" t="str">
        <f t="shared" si="11"/>
        <v>Fast</v>
      </c>
      <c r="AA88" t="str">
        <f t="shared" si="12"/>
        <v>Medium</v>
      </c>
      <c r="AB88" s="11" t="str">
        <f t="shared" si="13"/>
        <v>Approved</v>
      </c>
      <c r="AC88" s="11" t="str">
        <f t="shared" si="14"/>
        <v>Normal</v>
      </c>
    </row>
    <row r="89" spans="1:29" x14ac:dyDescent="0.3">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c r="Y89" t="str">
        <f t="shared" si="10"/>
        <v>Urgent</v>
      </c>
      <c r="Z89" t="str">
        <f t="shared" si="11"/>
        <v>Delayed</v>
      </c>
      <c r="AA89" t="str">
        <f t="shared" si="12"/>
        <v>High</v>
      </c>
      <c r="AB89" s="11" t="str">
        <f t="shared" si="13"/>
        <v>Review Required</v>
      </c>
      <c r="AC89" s="11" t="str">
        <f t="shared" si="14"/>
        <v>Normal</v>
      </c>
    </row>
    <row r="90" spans="1:29" x14ac:dyDescent="0.3">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c r="Y90" t="str">
        <f t="shared" si="10"/>
        <v>Urgent</v>
      </c>
      <c r="Z90" t="str">
        <f t="shared" si="11"/>
        <v>Delayed</v>
      </c>
      <c r="AA90" t="str">
        <f t="shared" si="12"/>
        <v>Low</v>
      </c>
      <c r="AB90" s="11" t="str">
        <f t="shared" si="13"/>
        <v>Review Required</v>
      </c>
      <c r="AC90" s="11" t="str">
        <f t="shared" si="14"/>
        <v>Normal</v>
      </c>
    </row>
    <row r="91" spans="1:29" x14ac:dyDescent="0.3">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c r="Y91" t="str">
        <f t="shared" si="10"/>
        <v>On Track</v>
      </c>
      <c r="Z91" t="str">
        <f t="shared" si="11"/>
        <v>Delayed</v>
      </c>
      <c r="AA91" t="str">
        <f t="shared" si="12"/>
        <v>Low</v>
      </c>
      <c r="AB91" s="11" t="str">
        <f t="shared" si="13"/>
        <v>Review Required</v>
      </c>
      <c r="AC91" s="11" t="str">
        <f t="shared" si="14"/>
        <v>Normal</v>
      </c>
    </row>
    <row r="92" spans="1:29" x14ac:dyDescent="0.3">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c r="Y92" t="str">
        <f t="shared" si="10"/>
        <v>Urgent</v>
      </c>
      <c r="Z92" t="str">
        <f t="shared" si="11"/>
        <v>Fast</v>
      </c>
      <c r="AA92" t="str">
        <f t="shared" si="12"/>
        <v>Low</v>
      </c>
      <c r="AB92" s="11" t="str">
        <f t="shared" si="13"/>
        <v>Approved</v>
      </c>
      <c r="AC92" s="11" t="str">
        <f t="shared" si="14"/>
        <v>Normal</v>
      </c>
    </row>
    <row r="93" spans="1:29" x14ac:dyDescent="0.3">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c r="Y93" t="str">
        <f t="shared" si="10"/>
        <v>On Track</v>
      </c>
      <c r="Z93" t="str">
        <f t="shared" si="11"/>
        <v>Fast</v>
      </c>
      <c r="AA93" t="str">
        <f t="shared" si="12"/>
        <v>Low</v>
      </c>
      <c r="AB93" s="11" t="str">
        <f t="shared" si="13"/>
        <v>Review Required</v>
      </c>
      <c r="AC93" s="11" t="str">
        <f t="shared" si="14"/>
        <v>Normal</v>
      </c>
    </row>
    <row r="94" spans="1:29" x14ac:dyDescent="0.3">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c r="Y94" t="str">
        <f t="shared" si="10"/>
        <v>On Track</v>
      </c>
      <c r="Z94" t="str">
        <f t="shared" si="11"/>
        <v>Fast</v>
      </c>
      <c r="AA94" t="str">
        <f t="shared" si="12"/>
        <v>Low</v>
      </c>
      <c r="AB94" s="11" t="str">
        <f t="shared" si="13"/>
        <v>Approved</v>
      </c>
      <c r="AC94" s="11" t="str">
        <f t="shared" si="14"/>
        <v>Normal</v>
      </c>
    </row>
    <row r="95" spans="1:29" x14ac:dyDescent="0.3">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c r="Y95" t="str">
        <f t="shared" si="10"/>
        <v>Urgent</v>
      </c>
      <c r="Z95" t="str">
        <f t="shared" si="11"/>
        <v>Delayed</v>
      </c>
      <c r="AA95" t="str">
        <f t="shared" si="12"/>
        <v>Low</v>
      </c>
      <c r="AB95" s="11" t="str">
        <f t="shared" si="13"/>
        <v>Review Required</v>
      </c>
      <c r="AC95" s="11" t="str">
        <f t="shared" si="14"/>
        <v>Normal</v>
      </c>
    </row>
    <row r="96" spans="1:29" x14ac:dyDescent="0.3">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c r="Y96" t="str">
        <f t="shared" si="10"/>
        <v>On Track</v>
      </c>
      <c r="Z96" t="str">
        <f t="shared" si="11"/>
        <v>Moderate</v>
      </c>
      <c r="AA96" t="str">
        <f t="shared" si="12"/>
        <v>Low</v>
      </c>
      <c r="AB96" s="11" t="str">
        <f t="shared" si="13"/>
        <v>Approved</v>
      </c>
      <c r="AC96" s="11" t="str">
        <f t="shared" si="14"/>
        <v>Normal</v>
      </c>
    </row>
    <row r="97" spans="1:29" x14ac:dyDescent="0.3">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c r="Y97" t="str">
        <f t="shared" si="10"/>
        <v>Urgent</v>
      </c>
      <c r="Z97" t="str">
        <f t="shared" si="11"/>
        <v>Moderate</v>
      </c>
      <c r="AA97" t="str">
        <f t="shared" si="12"/>
        <v>High</v>
      </c>
      <c r="AB97" s="11" t="str">
        <f t="shared" si="13"/>
        <v>Review Required</v>
      </c>
      <c r="AC97" s="11" t="str">
        <f t="shared" si="14"/>
        <v>Normal</v>
      </c>
    </row>
    <row r="98" spans="1:29" x14ac:dyDescent="0.3">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c r="Y98" t="str">
        <f t="shared" si="10"/>
        <v>On Track</v>
      </c>
      <c r="Z98" t="str">
        <f t="shared" si="11"/>
        <v>Delayed</v>
      </c>
      <c r="AA98" t="str">
        <f t="shared" si="12"/>
        <v>Low</v>
      </c>
      <c r="AB98" s="11" t="str">
        <f t="shared" si="13"/>
        <v>Review Required</v>
      </c>
      <c r="AC98" s="11" t="str">
        <f t="shared" si="14"/>
        <v>Normal</v>
      </c>
    </row>
    <row r="99" spans="1:29" x14ac:dyDescent="0.3">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c r="Y99" t="str">
        <f t="shared" si="10"/>
        <v>On Track</v>
      </c>
      <c r="Z99" t="str">
        <f t="shared" si="11"/>
        <v>Moderate</v>
      </c>
      <c r="AA99" t="str">
        <f t="shared" si="12"/>
        <v>Medium</v>
      </c>
      <c r="AB99" s="11" t="str">
        <f t="shared" si="13"/>
        <v>Review Required</v>
      </c>
      <c r="AC99" s="11" t="str">
        <f t="shared" si="14"/>
        <v>Normal</v>
      </c>
    </row>
    <row r="100" spans="1:29" x14ac:dyDescent="0.3">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c r="Y100" t="str">
        <f t="shared" si="10"/>
        <v>On Track</v>
      </c>
      <c r="Z100" t="str">
        <f t="shared" si="11"/>
        <v>Delayed</v>
      </c>
      <c r="AA100" t="str">
        <f t="shared" si="12"/>
        <v>Low</v>
      </c>
      <c r="AB100" s="11" t="str">
        <f t="shared" si="13"/>
        <v>Review Required</v>
      </c>
      <c r="AC100" s="11" t="str">
        <f t="shared" si="14"/>
        <v>Normal</v>
      </c>
    </row>
    <row r="101" spans="1:29" x14ac:dyDescent="0.3">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c r="Y101" t="str">
        <f t="shared" si="10"/>
        <v>Urgent</v>
      </c>
      <c r="Z101" t="str">
        <f t="shared" si="11"/>
        <v>Delayed</v>
      </c>
      <c r="AA101" t="str">
        <f t="shared" si="12"/>
        <v>Low</v>
      </c>
      <c r="AB101" s="11" t="str">
        <f t="shared" si="13"/>
        <v>Review Required</v>
      </c>
      <c r="AC101" s="11" t="str">
        <f t="shared" si="14"/>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025E-A7DC-4C3D-B699-CEF04E443A9A}">
  <dimension ref="A1:K34"/>
  <sheetViews>
    <sheetView workbookViewId="0">
      <selection activeCell="J30" sqref="J30:K34"/>
    </sheetView>
  </sheetViews>
  <sheetFormatPr defaultRowHeight="14.4" x14ac:dyDescent="0.3"/>
  <cols>
    <col min="1" max="1" width="12.5546875" bestFit="1" customWidth="1"/>
    <col min="2" max="2" width="12.21875" bestFit="1" customWidth="1"/>
    <col min="4" max="5" width="12.5546875" bestFit="1" customWidth="1"/>
    <col min="6" max="6" width="15.5546875" bestFit="1" customWidth="1"/>
    <col min="7" max="7" width="6.77734375" bestFit="1" customWidth="1"/>
    <col min="8" max="8" width="10.77734375" bestFit="1" customWidth="1"/>
    <col min="9" max="9" width="20.77734375" customWidth="1"/>
    <col min="10" max="10" width="13.109375" bestFit="1" customWidth="1"/>
    <col min="11" max="11" width="12.21875" bestFit="1" customWidth="1"/>
  </cols>
  <sheetData>
    <row r="1" spans="1:9" x14ac:dyDescent="0.3">
      <c r="A1" t="s">
        <v>161</v>
      </c>
      <c r="D1" t="s">
        <v>176</v>
      </c>
      <c r="H1" t="s">
        <v>162</v>
      </c>
    </row>
    <row r="2" spans="1:9" x14ac:dyDescent="0.3">
      <c r="A2" s="1" t="s">
        <v>158</v>
      </c>
      <c r="B2" t="s">
        <v>160</v>
      </c>
      <c r="D2" s="1" t="s">
        <v>158</v>
      </c>
      <c r="E2" t="s">
        <v>174</v>
      </c>
      <c r="H2" s="1" t="s">
        <v>158</v>
      </c>
      <c r="I2" t="s">
        <v>163</v>
      </c>
    </row>
    <row r="3" spans="1:9" x14ac:dyDescent="0.3">
      <c r="A3" s="2" t="s">
        <v>57</v>
      </c>
      <c r="B3" s="11">
        <v>1343</v>
      </c>
      <c r="D3" s="2" t="s">
        <v>39</v>
      </c>
      <c r="E3" s="4">
        <v>5.5123018285508447</v>
      </c>
      <c r="H3" s="2" t="s">
        <v>40</v>
      </c>
      <c r="I3" s="3">
        <v>0.26</v>
      </c>
    </row>
    <row r="4" spans="1:9" x14ac:dyDescent="0.3">
      <c r="A4" s="2" t="s">
        <v>24</v>
      </c>
      <c r="B4" s="11">
        <v>1480</v>
      </c>
      <c r="D4" s="2" t="s">
        <v>61</v>
      </c>
      <c r="E4" s="4">
        <v>5.7391780614618826</v>
      </c>
      <c r="H4" s="2" t="s">
        <v>47</v>
      </c>
      <c r="I4" s="3">
        <v>0.28000000000000003</v>
      </c>
    </row>
    <row r="5" spans="1:9" x14ac:dyDescent="0.3">
      <c r="A5" s="2" t="s">
        <v>33</v>
      </c>
      <c r="B5" s="11">
        <v>2099</v>
      </c>
      <c r="D5" s="2" t="s">
        <v>28</v>
      </c>
      <c r="E5" s="4">
        <v>4.7887706252194722</v>
      </c>
      <c r="H5" s="2" t="s">
        <v>31</v>
      </c>
      <c r="I5" s="3">
        <v>0.28999999999999998</v>
      </c>
    </row>
    <row r="6" spans="1:9" x14ac:dyDescent="0.3">
      <c r="A6" s="2" t="s">
        <v>159</v>
      </c>
      <c r="B6" s="11">
        <v>4922</v>
      </c>
      <c r="D6" s="2" t="s">
        <v>52</v>
      </c>
      <c r="E6" s="4">
        <v>5.7595729745619417</v>
      </c>
      <c r="H6" s="2" t="s">
        <v>56</v>
      </c>
      <c r="I6" s="3">
        <v>0.17</v>
      </c>
    </row>
    <row r="7" spans="1:9" x14ac:dyDescent="0.3">
      <c r="D7" s="2" t="s">
        <v>44</v>
      </c>
      <c r="E7" s="4">
        <v>5.7898315310287227</v>
      </c>
      <c r="H7" s="2" t="s">
        <v>159</v>
      </c>
      <c r="I7" s="3">
        <v>1</v>
      </c>
    </row>
    <row r="8" spans="1:9" x14ac:dyDescent="0.3">
      <c r="A8" t="s">
        <v>164</v>
      </c>
      <c r="D8" s="2" t="s">
        <v>159</v>
      </c>
      <c r="E8" s="4">
        <v>5.5481490720195827</v>
      </c>
    </row>
    <row r="9" spans="1:9" x14ac:dyDescent="0.3">
      <c r="A9" s="1" t="s">
        <v>158</v>
      </c>
      <c r="B9" t="s">
        <v>165</v>
      </c>
    </row>
    <row r="10" spans="1:9" x14ac:dyDescent="0.3">
      <c r="A10" s="2" t="s">
        <v>53</v>
      </c>
      <c r="B10" s="4">
        <v>15.333333333333334</v>
      </c>
    </row>
    <row r="11" spans="1:9" x14ac:dyDescent="0.3">
      <c r="A11" s="2" t="s">
        <v>62</v>
      </c>
      <c r="B11" s="4">
        <v>17.149999999999999</v>
      </c>
      <c r="D11" t="s">
        <v>166</v>
      </c>
      <c r="H11" t="s">
        <v>177</v>
      </c>
    </row>
    <row r="12" spans="1:9" x14ac:dyDescent="0.3">
      <c r="A12" s="2" t="s">
        <v>50</v>
      </c>
      <c r="B12" s="4">
        <v>17.666666666666668</v>
      </c>
      <c r="D12" s="1" t="s">
        <v>158</v>
      </c>
      <c r="E12" t="s">
        <v>167</v>
      </c>
      <c r="H12" s="1" t="s">
        <v>158</v>
      </c>
      <c r="I12" t="s">
        <v>175</v>
      </c>
    </row>
    <row r="13" spans="1:9" x14ac:dyDescent="0.3">
      <c r="A13" s="2" t="s">
        <v>45</v>
      </c>
      <c r="B13" s="4">
        <v>15.92</v>
      </c>
      <c r="D13" s="2" t="s">
        <v>39</v>
      </c>
      <c r="E13" s="4">
        <v>1.8036297116882485</v>
      </c>
      <c r="H13" s="2" t="s">
        <v>48</v>
      </c>
      <c r="I13" s="4">
        <v>485.48312777565491</v>
      </c>
    </row>
    <row r="14" spans="1:9" x14ac:dyDescent="0.3">
      <c r="A14" s="2" t="s">
        <v>29</v>
      </c>
      <c r="B14" s="4">
        <v>14.272727272727273</v>
      </c>
      <c r="D14" s="2" t="s">
        <v>61</v>
      </c>
      <c r="E14" s="4">
        <v>2.3627501450718764</v>
      </c>
      <c r="H14" s="2" t="s">
        <v>32</v>
      </c>
      <c r="I14" s="4">
        <v>595.65902771895503</v>
      </c>
    </row>
    <row r="15" spans="1:9" x14ac:dyDescent="0.3">
      <c r="A15" s="2" t="s">
        <v>159</v>
      </c>
      <c r="B15" s="4">
        <v>15.96</v>
      </c>
      <c r="D15" s="2" t="s">
        <v>28</v>
      </c>
      <c r="E15" s="4">
        <v>2.4657860307644657</v>
      </c>
      <c r="H15" s="2" t="s">
        <v>41</v>
      </c>
      <c r="I15" s="4">
        <v>500.4709847929779</v>
      </c>
    </row>
    <row r="16" spans="1:9" x14ac:dyDescent="0.3">
      <c r="D16" s="2" t="s">
        <v>52</v>
      </c>
      <c r="E16" s="4">
        <v>2.3373974005913354</v>
      </c>
      <c r="H16" s="2" t="s">
        <v>159</v>
      </c>
      <c r="I16" s="4">
        <v>529.24578215814063</v>
      </c>
    </row>
    <row r="17" spans="1:11" x14ac:dyDescent="0.3">
      <c r="D17" s="2" t="s">
        <v>44</v>
      </c>
      <c r="E17" s="4">
        <v>2.6654083441491982</v>
      </c>
    </row>
    <row r="18" spans="1:11" x14ac:dyDescent="0.3">
      <c r="D18" s="2" t="s">
        <v>159</v>
      </c>
      <c r="E18" s="4">
        <v>2.2771579927396055</v>
      </c>
    </row>
    <row r="19" spans="1:11" x14ac:dyDescent="0.3">
      <c r="J19" t="s">
        <v>193</v>
      </c>
    </row>
    <row r="20" spans="1:11" x14ac:dyDescent="0.3">
      <c r="J20" s="1" t="s">
        <v>156</v>
      </c>
      <c r="K20" t="s">
        <v>186</v>
      </c>
    </row>
    <row r="21" spans="1:11" ht="15.6" x14ac:dyDescent="0.3">
      <c r="A21" s="13" t="s">
        <v>185</v>
      </c>
      <c r="E21" t="s">
        <v>189</v>
      </c>
    </row>
    <row r="22" spans="1:11" x14ac:dyDescent="0.3">
      <c r="A22" s="1" t="s">
        <v>158</v>
      </c>
      <c r="B22" t="s">
        <v>163</v>
      </c>
      <c r="E22" s="1" t="s">
        <v>163</v>
      </c>
      <c r="F22" s="1" t="s">
        <v>190</v>
      </c>
      <c r="J22" s="1" t="s">
        <v>158</v>
      </c>
      <c r="K22" t="s">
        <v>163</v>
      </c>
    </row>
    <row r="23" spans="1:11" x14ac:dyDescent="0.3">
      <c r="A23" s="2" t="s">
        <v>186</v>
      </c>
      <c r="B23" s="3">
        <v>0.43</v>
      </c>
      <c r="E23" s="1" t="s">
        <v>158</v>
      </c>
      <c r="F23" t="s">
        <v>191</v>
      </c>
      <c r="G23" t="s">
        <v>192</v>
      </c>
      <c r="H23" t="s">
        <v>159</v>
      </c>
      <c r="J23" s="2" t="s">
        <v>48</v>
      </c>
      <c r="K23" s="11">
        <v>17</v>
      </c>
    </row>
    <row r="24" spans="1:11" x14ac:dyDescent="0.3">
      <c r="A24" s="2" t="s">
        <v>187</v>
      </c>
      <c r="B24" s="3">
        <v>0.23</v>
      </c>
      <c r="E24" s="2" t="s">
        <v>39</v>
      </c>
      <c r="F24" s="11">
        <v>9</v>
      </c>
      <c r="G24" s="11">
        <v>18</v>
      </c>
      <c r="H24" s="11">
        <v>27</v>
      </c>
      <c r="J24" s="2" t="s">
        <v>32</v>
      </c>
      <c r="K24" s="11">
        <v>18</v>
      </c>
    </row>
    <row r="25" spans="1:11" x14ac:dyDescent="0.3">
      <c r="A25" s="2" t="s">
        <v>188</v>
      </c>
      <c r="B25" s="3">
        <v>0.34</v>
      </c>
      <c r="E25" s="2" t="s">
        <v>61</v>
      </c>
      <c r="F25" s="11">
        <v>11</v>
      </c>
      <c r="G25" s="11">
        <v>11</v>
      </c>
      <c r="H25" s="11">
        <v>22</v>
      </c>
      <c r="J25" s="2" t="s">
        <v>41</v>
      </c>
      <c r="K25" s="11">
        <v>8</v>
      </c>
    </row>
    <row r="26" spans="1:11" x14ac:dyDescent="0.3">
      <c r="A26" s="2" t="s">
        <v>159</v>
      </c>
      <c r="B26" s="3">
        <v>1</v>
      </c>
      <c r="E26" s="2" t="s">
        <v>28</v>
      </c>
      <c r="F26" s="11">
        <v>8</v>
      </c>
      <c r="G26" s="11">
        <v>7</v>
      </c>
      <c r="H26" s="11">
        <v>15</v>
      </c>
      <c r="J26" s="2" t="s">
        <v>159</v>
      </c>
      <c r="K26" s="11">
        <v>43</v>
      </c>
    </row>
    <row r="27" spans="1:11" x14ac:dyDescent="0.3">
      <c r="E27" s="2" t="s">
        <v>52</v>
      </c>
      <c r="F27" s="11">
        <v>11</v>
      </c>
      <c r="G27" s="11">
        <v>7</v>
      </c>
      <c r="H27" s="11">
        <v>18</v>
      </c>
    </row>
    <row r="28" spans="1:11" x14ac:dyDescent="0.3">
      <c r="E28" s="2" t="s">
        <v>44</v>
      </c>
      <c r="F28" s="11">
        <v>7</v>
      </c>
      <c r="G28" s="11">
        <v>11</v>
      </c>
      <c r="H28" s="11">
        <v>18</v>
      </c>
    </row>
    <row r="29" spans="1:11" x14ac:dyDescent="0.3">
      <c r="E29" s="2" t="s">
        <v>159</v>
      </c>
      <c r="F29" s="11">
        <v>46</v>
      </c>
      <c r="G29" s="11">
        <v>54</v>
      </c>
      <c r="H29" s="11">
        <v>100</v>
      </c>
      <c r="J29" t="s">
        <v>194</v>
      </c>
    </row>
    <row r="30" spans="1:11" x14ac:dyDescent="0.3">
      <c r="J30" s="1" t="s">
        <v>158</v>
      </c>
      <c r="K30" t="s">
        <v>163</v>
      </c>
    </row>
    <row r="31" spans="1:11" x14ac:dyDescent="0.3">
      <c r="J31" s="2" t="s">
        <v>195</v>
      </c>
      <c r="K31" s="3">
        <v>0.27</v>
      </c>
    </row>
    <row r="32" spans="1:11" x14ac:dyDescent="0.3">
      <c r="J32" s="2" t="s">
        <v>196</v>
      </c>
      <c r="K32" s="3">
        <v>0.47</v>
      </c>
    </row>
    <row r="33" spans="10:11" x14ac:dyDescent="0.3">
      <c r="J33" s="2" t="s">
        <v>197</v>
      </c>
      <c r="K33" s="3">
        <v>0.26</v>
      </c>
    </row>
    <row r="34" spans="10:11" x14ac:dyDescent="0.3">
      <c r="J34" s="2" t="s">
        <v>159</v>
      </c>
      <c r="K34" s="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BAC6-5F5E-46C5-825A-EC4E69DDBE8D}">
  <dimension ref="B1:Y5"/>
  <sheetViews>
    <sheetView showGridLines="0" zoomScale="90" zoomScaleNormal="90" workbookViewId="0">
      <selection activeCell="E2" sqref="E2"/>
    </sheetView>
  </sheetViews>
  <sheetFormatPr defaultRowHeight="14.4" x14ac:dyDescent="0.3"/>
  <sheetData>
    <row r="1" spans="2:25" x14ac:dyDescent="0.3">
      <c r="H1" s="9" t="s">
        <v>168</v>
      </c>
      <c r="I1" s="10"/>
      <c r="J1" s="10"/>
      <c r="K1" s="10"/>
      <c r="L1" s="10"/>
      <c r="M1" s="10"/>
      <c r="N1" s="10"/>
      <c r="O1" s="10"/>
      <c r="P1" s="10"/>
      <c r="Q1" s="10"/>
      <c r="R1" s="10"/>
      <c r="S1" s="10"/>
    </row>
    <row r="2" spans="2:25" x14ac:dyDescent="0.3">
      <c r="H2" s="10"/>
      <c r="I2" s="10"/>
      <c r="J2" s="10"/>
      <c r="K2" s="10"/>
      <c r="L2" s="10"/>
      <c r="M2" s="10"/>
      <c r="N2" s="10"/>
      <c r="O2" s="10"/>
      <c r="P2" s="10"/>
      <c r="Q2" s="10"/>
      <c r="R2" s="10"/>
      <c r="S2" s="10"/>
    </row>
    <row r="4" spans="2:25" ht="21" x14ac:dyDescent="0.5">
      <c r="B4" s="5" t="s">
        <v>169</v>
      </c>
      <c r="C4" s="5"/>
      <c r="D4" s="5"/>
      <c r="E4" s="5"/>
      <c r="G4" s="5" t="s">
        <v>170</v>
      </c>
      <c r="H4" s="5"/>
      <c r="I4" s="5"/>
      <c r="J4" s="5"/>
      <c r="L4" s="5" t="s">
        <v>171</v>
      </c>
      <c r="M4" s="5"/>
      <c r="N4" s="5"/>
      <c r="O4" s="5"/>
      <c r="Q4" s="5" t="s">
        <v>172</v>
      </c>
      <c r="R4" s="5"/>
      <c r="S4" s="5"/>
      <c r="T4" s="5"/>
      <c r="V4" s="5" t="s">
        <v>173</v>
      </c>
      <c r="W4" s="5"/>
      <c r="X4" s="5"/>
      <c r="Y4" s="5"/>
    </row>
    <row r="5" spans="2:25" ht="25.2" x14ac:dyDescent="0.6">
      <c r="B5" s="6">
        <f>SUM(supply_chain_data!J:J)</f>
        <v>4922</v>
      </c>
      <c r="C5" s="6"/>
      <c r="D5" s="6"/>
      <c r="E5" s="6"/>
      <c r="G5" s="7">
        <f>SUM(supply_chain_data!F:F)</f>
        <v>577604.81873800792</v>
      </c>
      <c r="H5" s="7"/>
      <c r="I5" s="7"/>
      <c r="J5" s="7"/>
      <c r="L5" s="8">
        <f>AVERAGE(supply_chain_data!P:P)</f>
        <v>17.079999999999998</v>
      </c>
      <c r="M5" s="8"/>
      <c r="N5" s="8"/>
      <c r="O5" s="8"/>
      <c r="Q5" s="8">
        <f>AVERAGE(supply_chain_data!U:U)</f>
        <v>2.2771579927396073</v>
      </c>
      <c r="R5" s="8"/>
      <c r="S5" s="8"/>
      <c r="T5" s="8"/>
      <c r="V5" s="8">
        <f>SUM(supply_chain_data!M:M)</f>
        <v>554.81490720195836</v>
      </c>
      <c r="W5" s="8"/>
      <c r="X5" s="8"/>
      <c r="Y5" s="8"/>
    </row>
  </sheetData>
  <mergeCells count="11">
    <mergeCell ref="H1:S2"/>
    <mergeCell ref="B4:E4"/>
    <mergeCell ref="G4:J4"/>
    <mergeCell ref="L4:O4"/>
    <mergeCell ref="Q4:T4"/>
    <mergeCell ref="V4:Y4"/>
    <mergeCell ref="B5:E5"/>
    <mergeCell ref="G5:J5"/>
    <mergeCell ref="L5:O5"/>
    <mergeCell ref="Q5:T5"/>
    <mergeCell ref="V5:Y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FD54C-8EC3-4D95-B898-2A15576398F7}">
  <dimension ref="B1:Y5"/>
  <sheetViews>
    <sheetView showGridLines="0" tabSelected="1" zoomScale="90" zoomScaleNormal="90" workbookViewId="0">
      <selection activeCell="D2" sqref="D2"/>
    </sheetView>
  </sheetViews>
  <sheetFormatPr defaultRowHeight="14.4" x14ac:dyDescent="0.3"/>
  <sheetData>
    <row r="1" spans="2:25" x14ac:dyDescent="0.3">
      <c r="H1" s="9" t="s">
        <v>178</v>
      </c>
      <c r="I1" s="10"/>
      <c r="J1" s="10"/>
      <c r="K1" s="10"/>
      <c r="L1" s="10"/>
      <c r="M1" s="10"/>
      <c r="N1" s="10"/>
      <c r="O1" s="10"/>
      <c r="P1" s="10"/>
      <c r="Q1" s="10"/>
      <c r="R1" s="10"/>
      <c r="S1" s="10"/>
    </row>
    <row r="2" spans="2:25" x14ac:dyDescent="0.3">
      <c r="H2" s="10"/>
      <c r="I2" s="10"/>
      <c r="J2" s="10"/>
      <c r="K2" s="10"/>
      <c r="L2" s="10"/>
      <c r="M2" s="10"/>
      <c r="N2" s="10"/>
      <c r="O2" s="10"/>
      <c r="P2" s="10"/>
      <c r="Q2" s="10"/>
      <c r="R2" s="10"/>
      <c r="S2" s="10"/>
    </row>
    <row r="4" spans="2:25" ht="21" x14ac:dyDescent="0.5">
      <c r="B4" s="5" t="s">
        <v>179</v>
      </c>
      <c r="C4" s="5"/>
      <c r="D4" s="5"/>
      <c r="E4" s="5"/>
      <c r="G4" s="12" t="s">
        <v>181</v>
      </c>
      <c r="H4" s="5"/>
      <c r="I4" s="5"/>
      <c r="J4" s="5"/>
      <c r="L4" s="5" t="s">
        <v>182</v>
      </c>
      <c r="M4" s="5"/>
      <c r="N4" s="5"/>
      <c r="O4" s="5"/>
      <c r="Q4" s="5" t="s">
        <v>183</v>
      </c>
      <c r="R4" s="5"/>
      <c r="S4" s="5"/>
      <c r="T4" s="5"/>
      <c r="V4" s="5" t="s">
        <v>184</v>
      </c>
      <c r="W4" s="5"/>
      <c r="X4" s="5"/>
      <c r="Y4" s="5"/>
    </row>
    <row r="5" spans="2:25" ht="25.2" x14ac:dyDescent="0.6">
      <c r="B5" s="6">
        <f>COUNTIF(supply_chain_data!Z:Z,"Delayed")</f>
        <v>43</v>
      </c>
      <c r="C5" s="6"/>
      <c r="D5" s="6"/>
      <c r="E5" s="6"/>
      <c r="G5" s="7">
        <f>COUNTIF(supply_chain_data!Z:Z,"Fast")</f>
        <v>23</v>
      </c>
      <c r="H5" s="7"/>
      <c r="I5" s="7"/>
      <c r="J5" s="7"/>
      <c r="L5" s="7">
        <f>COUNTIF(supply_chain_data!T:T,"Pending")</f>
        <v>41</v>
      </c>
      <c r="M5" s="7"/>
      <c r="N5" s="7"/>
      <c r="O5" s="7"/>
      <c r="Q5" s="7">
        <f>COUNTIF(supply_chain_data!T:T,"Fail")</f>
        <v>36</v>
      </c>
      <c r="R5" s="7"/>
      <c r="S5" s="7"/>
      <c r="T5" s="7"/>
      <c r="V5" s="7">
        <f>COUNTIF(supply_chain_data!AB:AB,"Approved")</f>
        <v>23</v>
      </c>
      <c r="W5" s="7"/>
      <c r="X5" s="7"/>
      <c r="Y5" s="7"/>
    </row>
  </sheetData>
  <mergeCells count="11">
    <mergeCell ref="B5:E5"/>
    <mergeCell ref="G5:J5"/>
    <mergeCell ref="L5:O5"/>
    <mergeCell ref="Q5:T5"/>
    <mergeCell ref="V5:Y5"/>
    <mergeCell ref="H1:S2"/>
    <mergeCell ref="B4:E4"/>
    <mergeCell ref="G4:J4"/>
    <mergeCell ref="L4:O4"/>
    <mergeCell ref="Q4:T4"/>
    <mergeCell ref="V4: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Pivot</vt:lpstr>
      <vt:lpstr>Supply_Chain_Dashboard</vt:lpstr>
      <vt:lpstr>PO_Supplier_Monitoring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KUMARI</dc:creator>
  <cp:lastModifiedBy>PRERNA KUMARI</cp:lastModifiedBy>
  <dcterms:created xsi:type="dcterms:W3CDTF">2026-05-19T17:25:30Z</dcterms:created>
  <dcterms:modified xsi:type="dcterms:W3CDTF">2026-05-19T20:22:41Z</dcterms:modified>
</cp:coreProperties>
</file>