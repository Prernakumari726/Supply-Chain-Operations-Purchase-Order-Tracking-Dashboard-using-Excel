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nalytics_Self_Projects\Excel Projects\"/>
    </mc:Choice>
  </mc:AlternateContent>
  <xr:revisionPtr revIDLastSave="0" documentId="13_ncr:1_{6F8A4598-FF61-47A7-8D08-16E9D0E06522}" xr6:coauthVersionLast="47" xr6:coauthVersionMax="47" xr10:uidLastSave="{00000000-0000-0000-0000-000000000000}"/>
  <bookViews>
    <workbookView xWindow="-108" yWindow="-108" windowWidth="23256" windowHeight="12456" activeTab="3" xr2:uid="{541FBF17-AD03-4022-B6E8-CB2C8FEB1422}"/>
  </bookViews>
  <sheets>
    <sheet name="supply_chain_data" sheetId="1" r:id="rId1"/>
    <sheet name="PO tracker" sheetId="2" r:id="rId2"/>
    <sheet name="Pivot" sheetId="3" r:id="rId3"/>
    <sheet name="Supply_Chain_Dashboard" sheetId="4" r:id="rId4"/>
  </sheets>
  <definedNames>
    <definedName name="Slicer_Location">#N/A</definedName>
    <definedName name="Slicer_Product_type">#N/A</definedName>
    <definedName name="Slicer_Supplier_name">#N/A</definedName>
    <definedName name="Slicer_Transportation_modes">#N/A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4" l="1"/>
  <c r="Q5" i="4"/>
  <c r="L5" i="4"/>
  <c r="G5" i="4"/>
  <c r="B5" i="4"/>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2" i="2"/>
</calcChain>
</file>

<file path=xl/sharedStrings.xml><?xml version="1.0" encoding="utf-8"?>
<sst xmlns="http://schemas.openxmlformats.org/spreadsheetml/2006/main" count="1493" uniqueCount="178">
  <si>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</si>
  <si>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</si>
  <si>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</si>
  <si>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</si>
  <si>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</si>
  <si>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</si>
  <si>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</si>
  <si>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</si>
  <si>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</si>
  <si>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</si>
  <si>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</si>
  <si>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</si>
  <si>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</si>
  <si>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</si>
  <si>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</si>
  <si>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</si>
  <si>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</si>
  <si>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</si>
  <si>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</si>
  <si>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</si>
  <si>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</si>
  <si>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</si>
  <si>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</si>
  <si>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</si>
  <si>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</si>
  <si>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</si>
  <si>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</si>
  <si>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</si>
  <si>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</si>
  <si>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</si>
  <si>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</si>
  <si>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</si>
  <si>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</si>
  <si>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</si>
  <si>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</si>
  <si>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</si>
  <si>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</si>
  <si>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</si>
  <si>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</si>
  <si>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</si>
  <si>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</si>
  <si>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</si>
  <si>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</si>
  <si>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</si>
  <si>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</si>
  <si>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</si>
  <si>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</si>
  <si>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</si>
  <si>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</si>
  <si>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</si>
  <si>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</si>
  <si>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</si>
  <si>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</si>
  <si>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</si>
  <si>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</si>
  <si>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</si>
  <si>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</si>
  <si>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</si>
  <si>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</si>
  <si>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</si>
  <si>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</si>
  <si>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</si>
  <si>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</si>
  <si>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</si>
  <si>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</si>
  <si>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</si>
  <si>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</si>
  <si>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</si>
  <si>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</si>
  <si>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</si>
  <si>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</si>
  <si>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</si>
  <si>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</si>
  <si>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</si>
  <si>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</si>
  <si>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</si>
  <si>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</si>
  <si>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</si>
  <si>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</si>
  <si>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</si>
  <si>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</si>
  <si>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</si>
  <si>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</si>
  <si>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</si>
  <si>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</si>
  <si>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</si>
  <si>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</si>
  <si>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</si>
  <si>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</si>
  <si>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</si>
  <si>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</si>
  <si>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</si>
  <si>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</si>
  <si>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</si>
  <si>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</si>
  <si>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</si>
  <si>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</si>
  <si>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</si>
  <si>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</si>
  <si>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</si>
  <si>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</si>
  <si>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</si>
  <si>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</si>
  <si>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</si>
  <si>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</si>
  <si>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</si>
  <si>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</si>
  <si>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</si>
  <si>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</si>
  <si>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</si>
  <si>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</si>
  <si>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</si>
  <si>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</si>
  <si>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</si>
  <si>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</si>
  <si>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</si>
  <si>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</si>
  <si>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</si>
  <si>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</si>
  <si>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</si>
  <si>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</si>
  <si>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</si>
  <si>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</si>
  <si>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</si>
  <si>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</si>
  <si>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</si>
  <si>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</si>
  <si>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</si>
  <si>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</si>
  <si>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</si>
  <si>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</si>
  <si>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</si>
  <si>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</si>
  <si>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</si>
  <si>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</si>
  <si>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</si>
  <si>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</si>
  <si>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</si>
  <si>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</si>
  <si>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</si>
  <si>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</si>
  <si>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</si>
  <si>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</si>
  <si>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</si>
  <si>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</si>
  <si>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</si>
  <si>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</si>
  <si>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</si>
  <si>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</si>
  <si>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</si>
  <si>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</si>
  <si>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</si>
  <si>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</si>
  <si>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</si>
  <si>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PO Status</t>
  </si>
  <si>
    <t>Inventory Risk</t>
  </si>
  <si>
    <t>Delivery Status</t>
  </si>
  <si>
    <t>Quality Status</t>
  </si>
  <si>
    <t>Row Labels</t>
  </si>
  <si>
    <t>Grand Total</t>
  </si>
  <si>
    <t>Sum of Order quantities</t>
  </si>
  <si>
    <t>Order Quantity by Product Type</t>
  </si>
  <si>
    <t>Transportation Mode Distribution</t>
  </si>
  <si>
    <t>Count of SKU</t>
  </si>
  <si>
    <t>Lead Time Analysis by Location</t>
  </si>
  <si>
    <t>Average of Lead times</t>
  </si>
  <si>
    <t>Defect Rate by Supplier</t>
  </si>
  <si>
    <t>Average of Defect rates</t>
  </si>
  <si>
    <t>Supply Chain Operations Dashboard</t>
  </si>
  <si>
    <t>Total Orders</t>
  </si>
  <si>
    <t>Total Revenue</t>
  </si>
  <si>
    <t>Average Lead Time</t>
  </si>
  <si>
    <t>Average Defect Rate</t>
  </si>
  <si>
    <t>Total Shipping Cost</t>
  </si>
  <si>
    <t>Average of Shipping costs</t>
  </si>
  <si>
    <t>Average of Costs</t>
  </si>
  <si>
    <t>Average Shipping Cost by Supplier</t>
  </si>
  <si>
    <t>Average Operational Cost by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</si>
</sst>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4" tint="-0.499984740745262"/>
      <name val="Arial Black"/>
      <family val="2"/>
    </font>
    <font>
      <sz val="11"/>
      <color theme="4" tint="-0.499984740745262"/>
      <name val="Calibri"/>
      <family val="2"/>
      <scheme val="minor"/>
    </font>
    <font>
      <sz val="16"/>
      <color theme="0"/>
      <name val="Arial Black"/>
      <family val="2"/>
    </font>
    <font>
      <sz val="14"/>
      <color theme="2"/>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xf numFmtId="0" fontId="20" fillId="34" borderId="0" xfId="0" applyFont="1" applyFill="1" applyAlignment="1">
      <alignment horizontal="center"/>
    </xf>
    <xf numFmtId="0" fontId="21" fillId="34" borderId="0" xfId="0" applyFont="1" applyFill="1" applyAlignment="1">
      <alignment horizontal="center"/>
    </xf>
    <xf numFmtId="2" fontId="20" fillId="34" borderId="0" xfId="0" applyNumberFormat="1" applyFont="1" applyFill="1" applyAlignment="1">
      <alignment horizontal="center"/>
    </xf>
    <xf numFmtId="1" fontId="20" fillId="34"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Tracking Dashboard.xlsx]Pivot!PivotTable2</c:name>
    <c:fmtId val="2"/>
  </c:pivotSource>
  <c:chart>
    <c:title>
      <c:tx>
        <c:strRef>
          <c:f>Pivot!$A$1</c:f>
          <c:strCache>
            <c:ptCount val="1"/>
            <c:pt idx="0">
              <c:v>Order Quantity by Product Type</c:v>
            </c:pt>
          </c:strCache>
        </c:strRef>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c:f>
              <c:strCache>
                <c:ptCount val="3"/>
                <c:pt idx="0">
                  <c:v>cosmetics</c:v>
                </c:pt>
                <c:pt idx="1">
                  <c:v>haircare</c:v>
                </c:pt>
                <c:pt idx="2">
                  <c:v>skincare</c:v>
                </c:pt>
              </c:strCache>
            </c:strRef>
          </c:cat>
          <c:val>
            <c:numRef>
              <c:f>Pivot!$A$1</c:f>
              <c:numCache>
                <c:formatCode>General</c:formatCode>
                <c:ptCount val="3"/>
                <c:pt idx="0">
                  <c:v>1343</c:v>
                </c:pt>
                <c:pt idx="1">
                  <c:v>1480</c:v>
                </c:pt>
                <c:pt idx="2">
                  <c:v>2099</c:v>
                </c:pt>
              </c:numCache>
            </c:numRef>
          </c:val>
          <c:extLst>
            <c:ext xmlns:c16="http://schemas.microsoft.com/office/drawing/2014/chart" uri="{C3380CC4-5D6E-409C-BE32-E72D297353CC}">
              <c16:uniqueId val="{00000000-BA76-40A1-8B72-CDEC987BB886}"/>
            </c:ext>
          </c:extLst>
        </c:ser>
        <c:dLbls>
          <c:dLblPos val="outEnd"/>
          <c:showLegendKey val="0"/>
          <c:showVal val="1"/>
          <c:showCatName val="0"/>
          <c:showSerName val="0"/>
          <c:showPercent val="0"/>
          <c:showBubbleSize val="0"/>
        </c:dLbls>
        <c:gapWidth val="219"/>
        <c:overlap val="-27"/>
        <c:axId val="1163544095"/>
        <c:axId val="1163545055"/>
      </c:barChart>
      <c:catAx>
        <c:axId val="116354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45055"/>
        <c:crosses val="autoZero"/>
        <c:auto val="1"/>
        <c:lblAlgn val="ctr"/>
        <c:lblOffset val="100"/>
        <c:noMultiLvlLbl val="0"/>
      </c:catAx>
      <c:valAx>
        <c:axId val="116354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4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Tracking Dashboard.xlsx]Pivot!PivotTable5</c:name>
    <c:fmtId val="2"/>
  </c:pivotSource>
  <c:chart>
    <c:title>
      <c:tx>
        <c:strRef>
          <c:f>Pivot!$A$8</c:f>
          <c:strCache>
            <c:ptCount val="1"/>
            <c:pt idx="0">
              <c:v>Lead Time Analysis by Location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c:f>
              <c:strCache>
                <c:ptCount val="5"/>
                <c:pt idx="0">
                  <c:v>Bangalore</c:v>
                </c:pt>
                <c:pt idx="1">
                  <c:v>Chennai</c:v>
                </c:pt>
                <c:pt idx="2">
                  <c:v>Delhi</c:v>
                </c:pt>
                <c:pt idx="3">
                  <c:v>Kolkata</c:v>
                </c:pt>
                <c:pt idx="4">
                  <c:v>Mumbai</c:v>
                </c:pt>
              </c:strCache>
            </c:strRef>
          </c:cat>
          <c:val>
            <c:numRef>
              <c:f>Pivot!$A$8</c:f>
              <c:numCache>
                <c:formatCode>0.00</c:formatCode>
                <c:ptCount val="5"/>
                <c:pt idx="0">
                  <c:v>15.333333333333334</c:v>
                </c:pt>
                <c:pt idx="1">
                  <c:v>17.149999999999999</c:v>
                </c:pt>
                <c:pt idx="2">
                  <c:v>17.666666666666668</c:v>
                </c:pt>
                <c:pt idx="3">
                  <c:v>15.92</c:v>
                </c:pt>
                <c:pt idx="4">
                  <c:v>14.272727272727273</c:v>
                </c:pt>
              </c:numCache>
            </c:numRef>
          </c:val>
          <c:extLst>
            <c:ext xmlns:c16="http://schemas.microsoft.com/office/drawing/2014/chart" uri="{C3380CC4-5D6E-409C-BE32-E72D297353CC}">
              <c16:uniqueId val="{00000000-12D8-49C2-9C92-76FE35AB9BE4}"/>
            </c:ext>
          </c:extLst>
        </c:ser>
        <c:dLbls>
          <c:dLblPos val="outEnd"/>
          <c:showLegendKey val="0"/>
          <c:showVal val="1"/>
          <c:showCatName val="0"/>
          <c:showSerName val="0"/>
          <c:showPercent val="0"/>
          <c:showBubbleSize val="0"/>
        </c:dLbls>
        <c:gapWidth val="150"/>
        <c:axId val="1086105087"/>
        <c:axId val="1086104127"/>
      </c:barChart>
      <c:catAx>
        <c:axId val="10861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04127"/>
        <c:crosses val="autoZero"/>
        <c:auto val="1"/>
        <c:lblAlgn val="ctr"/>
        <c:lblOffset val="100"/>
        <c:noMultiLvlLbl val="0"/>
      </c:catAx>
      <c:valAx>
        <c:axId val="1086104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0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Tracking Dashboard.xlsx]Pivot!PivotTable9</c:name>
    <c:fmtId val="2"/>
  </c:pivotSource>
  <c:chart>
    <c:title>
      <c:tx>
        <c:strRef>
          <c:f>Pivot!$H$11</c:f>
          <c:strCache>
            <c:ptCount val="1"/>
            <c:pt idx="0">
              <c:v>Average Operational Cost by Route</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Pivot!$H$11</c:f>
              <c:strCache>
                <c:ptCount val="3"/>
                <c:pt idx="0">
                  <c:v>Route A</c:v>
                </c:pt>
                <c:pt idx="1">
                  <c:v>Route B</c:v>
                </c:pt>
                <c:pt idx="2">
                  <c:v>Route C</c:v>
                </c:pt>
              </c:strCache>
            </c:strRef>
          </c:cat>
          <c:val>
            <c:numRef>
              <c:f>Pivot!$H$11</c:f>
              <c:numCache>
                <c:formatCode>0.00</c:formatCode>
                <c:ptCount val="3"/>
                <c:pt idx="0">
                  <c:v>485.48312777565491</c:v>
                </c:pt>
                <c:pt idx="1">
                  <c:v>595.65902771895503</c:v>
                </c:pt>
                <c:pt idx="2">
                  <c:v>500.4709847929779</c:v>
                </c:pt>
              </c:numCache>
            </c:numRef>
          </c:val>
          <c:extLst>
            <c:ext xmlns:c16="http://schemas.microsoft.com/office/drawing/2014/chart" uri="{C3380CC4-5D6E-409C-BE32-E72D297353CC}">
              <c16:uniqueId val="{00000000-6C89-4001-960B-1FB5FEC2CF16}"/>
            </c:ext>
          </c:extLst>
        </c:ser>
        <c:dLbls>
          <c:dLblPos val="outEnd"/>
          <c:showLegendKey val="0"/>
          <c:showVal val="1"/>
          <c:showCatName val="0"/>
          <c:showSerName val="0"/>
          <c:showPercent val="0"/>
          <c:showBubbleSize val="0"/>
        </c:dLbls>
        <c:gapWidth val="150"/>
        <c:axId val="1174575263"/>
        <c:axId val="1174578143"/>
      </c:barChart>
      <c:catAx>
        <c:axId val="11745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78143"/>
        <c:crosses val="autoZero"/>
        <c:auto val="1"/>
        <c:lblAlgn val="ctr"/>
        <c:lblOffset val="100"/>
        <c:noMultiLvlLbl val="0"/>
      </c:catAx>
      <c:valAx>
        <c:axId val="1174578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7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Operations &amp; Purchase Order Tracking Dashboard.xlsx]Pivot!PivotTable4</c:name>
    <c:fmtId val="2"/>
  </c:pivotSource>
  <c:chart>
    <c:title>
      <c:tx>
        <c:strRef>
          <c:f>Pivot!$H$1</c:f>
          <c:strCache>
            <c:ptCount val="1"/>
            <c:pt idx="0">
              <c:v>Transportation Mode Distribution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Pivot!$H$1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77EC-4B7E-B698-915332FE957A}"/>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7EC-4B7E-B698-915332FE957A}"/>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7EC-4B7E-B698-915332FE957A}"/>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7EC-4B7E-B698-915332FE95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c:f>
              <c:strCache>
                <c:ptCount val="4"/>
                <c:pt idx="0">
                  <c:v>Air</c:v>
                </c:pt>
                <c:pt idx="1">
                  <c:v>Rail</c:v>
                </c:pt>
                <c:pt idx="2">
                  <c:v>Road</c:v>
                </c:pt>
                <c:pt idx="3">
                  <c:v>Sea</c:v>
                </c:pt>
              </c:strCache>
            </c:strRef>
          </c:cat>
          <c:val>
            <c:numRef>
              <c:f>Pivot!$H$1</c:f>
              <c:numCache>
                <c:formatCode>0.00%</c:formatCode>
                <c:ptCount val="4"/>
                <c:pt idx="0">
                  <c:v>0.26</c:v>
                </c:pt>
                <c:pt idx="1">
                  <c:v>0.28000000000000003</c:v>
                </c:pt>
                <c:pt idx="2">
                  <c:v>0.28999999999999998</c:v>
                </c:pt>
                <c:pt idx="3">
                  <c:v>0.17</c:v>
                </c:pt>
              </c:numCache>
            </c:numRef>
          </c:val>
          <c:extLst>
            <c:ext xmlns:c16="http://schemas.microsoft.com/office/drawing/2014/chart" uri="{C3380CC4-5D6E-409C-BE32-E72D297353CC}">
              <c16:uniqueId val="{00000008-77EC-4B7E-B698-915332FE957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Tracking Dashboard.xlsx]Pivot!PivotTable3</c:name>
    <c:fmtId val="2"/>
  </c:pivotSource>
  <c:chart>
    <c:title>
      <c:tx>
        <c:strRef>
          <c:f>Pivot!$D$1</c:f>
          <c:strCache>
            <c:ptCount val="1"/>
            <c:pt idx="0">
              <c:v>Average Shipping Cost by Supplier</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c:f>
              <c:strCache>
                <c:ptCount val="5"/>
                <c:pt idx="0">
                  <c:v>Supplier 1</c:v>
                </c:pt>
                <c:pt idx="1">
                  <c:v>Supplier 2</c:v>
                </c:pt>
                <c:pt idx="2">
                  <c:v>Supplier 3</c:v>
                </c:pt>
                <c:pt idx="3">
                  <c:v>Supplier 4</c:v>
                </c:pt>
                <c:pt idx="4">
                  <c:v>Supplier 5</c:v>
                </c:pt>
              </c:strCache>
            </c:strRef>
          </c:cat>
          <c:val>
            <c:numRef>
              <c:f>Pivot!$D$1</c:f>
              <c:numCache>
                <c:formatCode>0.00</c:formatCode>
                <c:ptCount val="5"/>
                <c:pt idx="0">
                  <c:v>5.5123018285508447</c:v>
                </c:pt>
                <c:pt idx="1">
                  <c:v>5.7391780614618826</c:v>
                </c:pt>
                <c:pt idx="2">
                  <c:v>4.7887706252194722</c:v>
                </c:pt>
                <c:pt idx="3">
                  <c:v>5.7595729745619417</c:v>
                </c:pt>
                <c:pt idx="4">
                  <c:v>5.7898315310287227</c:v>
                </c:pt>
              </c:numCache>
            </c:numRef>
          </c:val>
          <c:extLst>
            <c:ext xmlns:c16="http://schemas.microsoft.com/office/drawing/2014/chart" uri="{C3380CC4-5D6E-409C-BE32-E72D297353CC}">
              <c16:uniqueId val="{00000000-1274-42D9-BDF2-5BB4E5BBB04F}"/>
            </c:ext>
          </c:extLst>
        </c:ser>
        <c:dLbls>
          <c:dLblPos val="outEnd"/>
          <c:showLegendKey val="0"/>
          <c:showVal val="1"/>
          <c:showCatName val="0"/>
          <c:showSerName val="0"/>
          <c:showPercent val="0"/>
          <c:showBubbleSize val="0"/>
        </c:dLbls>
        <c:gapWidth val="182"/>
        <c:axId val="1258701455"/>
        <c:axId val="1258703855"/>
      </c:barChart>
      <c:catAx>
        <c:axId val="125870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03855"/>
        <c:crosses val="autoZero"/>
        <c:auto val="1"/>
        <c:lblAlgn val="ctr"/>
        <c:lblOffset val="100"/>
        <c:noMultiLvlLbl val="0"/>
      </c:catAx>
      <c:valAx>
        <c:axId val="12587038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0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Tracking Dashboard.xlsx]Pivot!PivotTable8</c:name>
    <c:fmtId val="2"/>
  </c:pivotSource>
  <c:chart>
    <c:title>
      <c:tx>
        <c:strRef>
          <c:f>Pivot!$D$11</c:f>
          <c:strCache>
            <c:ptCount val="1"/>
            <c:pt idx="0">
              <c:v>Defect Rate by Supplier</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c:f>
              <c:strCache>
                <c:ptCount val="5"/>
                <c:pt idx="0">
                  <c:v>Supplier 1</c:v>
                </c:pt>
                <c:pt idx="1">
                  <c:v>Supplier 2</c:v>
                </c:pt>
                <c:pt idx="2">
                  <c:v>Supplier 3</c:v>
                </c:pt>
                <c:pt idx="3">
                  <c:v>Supplier 4</c:v>
                </c:pt>
                <c:pt idx="4">
                  <c:v>Supplier 5</c:v>
                </c:pt>
              </c:strCache>
            </c:strRef>
          </c:cat>
          <c:val>
            <c:numRef>
              <c:f>Pivot!$D$11</c:f>
              <c:numCache>
                <c:formatCode>0.00</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523B-4CAD-82FB-7543120AA7E1}"/>
            </c:ext>
          </c:extLst>
        </c:ser>
        <c:dLbls>
          <c:dLblPos val="outEnd"/>
          <c:showLegendKey val="0"/>
          <c:showVal val="1"/>
          <c:showCatName val="0"/>
          <c:showSerName val="0"/>
          <c:showPercent val="0"/>
          <c:showBubbleSize val="0"/>
        </c:dLbls>
        <c:gapWidth val="182"/>
        <c:axId val="1082137759"/>
        <c:axId val="1082138239"/>
      </c:barChart>
      <c:catAx>
        <c:axId val="108213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8239"/>
        <c:crosses val="autoZero"/>
        <c:auto val="1"/>
        <c:lblAlgn val="ctr"/>
        <c:lblOffset val="100"/>
        <c:noMultiLvlLbl val="0"/>
      </c:catAx>
      <c:valAx>
        <c:axId val="1082138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847</xdr:colOff>
      <xdr:row>6</xdr:row>
      <xdr:rowOff>8466</xdr:rowOff>
    </xdr:from>
    <xdr:to>
      <xdr:col>6</xdr:col>
      <xdr:colOff>313266</xdr:colOff>
      <xdr:row>17</xdr:row>
      <xdr:rowOff>0</xdr:rowOff>
    </xdr:to>
    <xdr:graphicFrame macro="">
      <xdr:nvGraphicFramePr>
        <xdr:cNvPr id="2" name="Chart 1">
          <a:extLst>
            <a:ext uri="{FF2B5EF4-FFF2-40B4-BE49-F238E27FC236}">
              <a16:creationId xmlns:a16="http://schemas.microsoft.com/office/drawing/2014/main" id="{D490AC0C-9279-4BF5-AD0D-DE46E13B1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8465</xdr:colOff>
      <xdr:row>6</xdr:row>
      <xdr:rowOff>8467</xdr:rowOff>
    </xdr:from>
    <xdr:to>
      <xdr:col>12</xdr:col>
      <xdr:colOff>313266</xdr:colOff>
      <xdr:row>17</xdr:row>
      <xdr:rowOff>0</xdr:rowOff>
    </xdr:to>
    <xdr:graphicFrame macro="">
      <xdr:nvGraphicFramePr>
        <xdr:cNvPr id="3" name="Chart 2">
          <a:extLst>
            <a:ext uri="{FF2B5EF4-FFF2-40B4-BE49-F238E27FC236}">
              <a16:creationId xmlns:a16="http://schemas.microsoft.com/office/drawing/2014/main" id="{1A98D9E9-2FB2-4D02-9E73-36B6DF443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8467</xdr:colOff>
      <xdr:row>5</xdr:row>
      <xdr:rowOff>182033</xdr:rowOff>
    </xdr:from>
    <xdr:to>
      <xdr:col>18</xdr:col>
      <xdr:colOff>338667</xdr:colOff>
      <xdr:row>17</xdr:row>
      <xdr:rowOff>0</xdr:rowOff>
    </xdr:to>
    <xdr:graphicFrame macro="">
      <xdr:nvGraphicFramePr>
        <xdr:cNvPr id="4" name="Chart 3">
          <a:extLst>
            <a:ext uri="{FF2B5EF4-FFF2-40B4-BE49-F238E27FC236}">
              <a16:creationId xmlns:a16="http://schemas.microsoft.com/office/drawing/2014/main" id="{C06C3DF6-3441-4C46-BCAE-7AD2C43C6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11853</xdr:colOff>
      <xdr:row>6</xdr:row>
      <xdr:rowOff>9737</xdr:rowOff>
    </xdr:from>
    <xdr:to>
      <xdr:col>24</xdr:col>
      <xdr:colOff>601133</xdr:colOff>
      <xdr:row>16</xdr:row>
      <xdr:rowOff>93980</xdr:rowOff>
    </xdr:to>
    <xdr:graphicFrame macro="">
      <xdr:nvGraphicFramePr>
        <xdr:cNvPr id="5" name="Chart 4">
          <a:extLst>
            <a:ext uri="{FF2B5EF4-FFF2-40B4-BE49-F238E27FC236}">
              <a16:creationId xmlns:a16="http://schemas.microsoft.com/office/drawing/2014/main" id="{BA30D66F-3416-4B9B-A7B6-D16C672B5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17</xdr:row>
      <xdr:rowOff>152402</xdr:rowOff>
    </xdr:from>
    <xdr:to>
      <xdr:col>9</xdr:col>
      <xdr:colOff>16933</xdr:colOff>
      <xdr:row>28</xdr:row>
      <xdr:rowOff>93134</xdr:rowOff>
    </xdr:to>
    <xdr:graphicFrame macro="">
      <xdr:nvGraphicFramePr>
        <xdr:cNvPr id="6" name="Chart 5">
          <a:extLst>
            <a:ext uri="{FF2B5EF4-FFF2-40B4-BE49-F238E27FC236}">
              <a16:creationId xmlns:a16="http://schemas.microsoft.com/office/drawing/2014/main" id="{8EF335BE-6E70-46E6-A0E7-9CF56CE5D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321731</xdr:colOff>
      <xdr:row>17</xdr:row>
      <xdr:rowOff>172719</xdr:rowOff>
    </xdr:from>
    <xdr:to>
      <xdr:col>24</xdr:col>
      <xdr:colOff>592666</xdr:colOff>
      <xdr:row>28</xdr:row>
      <xdr:rowOff>59267</xdr:rowOff>
    </xdr:to>
    <xdr:graphicFrame macro="">
      <xdr:nvGraphicFramePr>
        <xdr:cNvPr id="7" name="Chart 6">
          <a:extLst>
            <a:ext uri="{FF2B5EF4-FFF2-40B4-BE49-F238E27FC236}">
              <a16:creationId xmlns:a16="http://schemas.microsoft.com/office/drawing/2014/main" id="{65FEE1D9-648C-49B3-AB74-95020E3E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298874</xdr:colOff>
      <xdr:row>24</xdr:row>
      <xdr:rowOff>40637</xdr:rowOff>
    </xdr:from>
    <xdr:to>
      <xdr:col>12</xdr:col>
      <xdr:colOff>298874</xdr:colOff>
      <xdr:row>28</xdr:row>
      <xdr:rowOff>177799</xdr:rowOff>
    </xdr:to>
    <mc:AlternateContent xmlns:mc="http://schemas.openxmlformats.org/markup-compatibility/2006">
      <mc:Choice xmlns:a14="http://schemas.microsoft.com/office/drawing/2010/main" Requires="a14">
        <xdr:graphicFrame macro="">
          <xdr:nvGraphicFramePr>
            <xdr:cNvPr id="8" name="Product type">
              <a:extLst>
                <a:ext uri="{FF2B5EF4-FFF2-40B4-BE49-F238E27FC236}">
                  <a16:creationId xmlns:a16="http://schemas.microsoft.com/office/drawing/2014/main" id="{7F32A9B8-E531-85D9-0E19-AC26A09C1279}"/>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5785274" y="4731170"/>
              <a:ext cx="1828800" cy="882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304801</xdr:colOff>
      <xdr:row>18</xdr:row>
      <xdr:rowOff>12701</xdr:rowOff>
    </xdr:from>
    <xdr:to>
      <xdr:col>12</xdr:col>
      <xdr:colOff>304801</xdr:colOff>
      <xdr:row>24</xdr:row>
      <xdr:rowOff>33867</xdr:rowOff>
    </xdr:to>
    <mc:AlternateContent xmlns:mc="http://schemas.openxmlformats.org/markup-compatibility/2006">
      <mc:Choice xmlns:a14="http://schemas.microsoft.com/office/drawing/2010/main" Requires="a14">
        <xdr:graphicFrame macro="">
          <xdr:nvGraphicFramePr>
            <xdr:cNvPr id="9" name="Supplier name">
              <a:extLst>
                <a:ext uri="{FF2B5EF4-FFF2-40B4-BE49-F238E27FC236}">
                  <a16:creationId xmlns:a16="http://schemas.microsoft.com/office/drawing/2014/main" id="{572D05DB-29B4-25BF-8C4D-FB8E5E062BC1}"/>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5791201" y="3585634"/>
              <a:ext cx="1828800" cy="1138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14393</xdr:colOff>
      <xdr:row>18</xdr:row>
      <xdr:rowOff>16934</xdr:rowOff>
    </xdr:from>
    <xdr:to>
      <xdr:col>16</xdr:col>
      <xdr:colOff>14393</xdr:colOff>
      <xdr:row>24</xdr:row>
      <xdr:rowOff>25402</xdr:rowOff>
    </xdr:to>
    <mc:AlternateContent xmlns:mc="http://schemas.openxmlformats.org/markup-compatibility/2006">
      <mc:Choice xmlns:a14="http://schemas.microsoft.com/office/drawing/2010/main" Requires="a14">
        <xdr:graphicFrame macro="">
          <xdr:nvGraphicFramePr>
            <xdr:cNvPr id="10" name="Location">
              <a:extLst>
                <a:ext uri="{FF2B5EF4-FFF2-40B4-BE49-F238E27FC236}">
                  <a16:creationId xmlns:a16="http://schemas.microsoft.com/office/drawing/2014/main" id="{99231162-B98B-C167-016F-7E7EC75F8D7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7939193" y="3589867"/>
              <a:ext cx="1828800" cy="1126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11853</xdr:colOff>
      <xdr:row>24</xdr:row>
      <xdr:rowOff>25401</xdr:rowOff>
    </xdr:from>
    <xdr:to>
      <xdr:col>16</xdr:col>
      <xdr:colOff>11853</xdr:colOff>
      <xdr:row>29</xdr:row>
      <xdr:rowOff>8466</xdr:rowOff>
    </xdr:to>
    <mc:AlternateContent xmlns:mc="http://schemas.openxmlformats.org/markup-compatibility/2006">
      <mc:Choice xmlns:a14="http://schemas.microsoft.com/office/drawing/2010/main" Requires="a14">
        <xdr:graphicFrame macro="">
          <xdr:nvGraphicFramePr>
            <xdr:cNvPr id="11" name="Transportation modes">
              <a:extLst>
                <a:ext uri="{FF2B5EF4-FFF2-40B4-BE49-F238E27FC236}">
                  <a16:creationId xmlns:a16="http://schemas.microsoft.com/office/drawing/2014/main" id="{4808170C-F5B2-E887-0FEE-3E8AC14825F3}"/>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dr:sp macro="" textlink="">
          <xdr:nvSpPr>
            <xdr:cNvPr id="0" name=""/>
            <xdr:cNvSpPr>
              <a:spLocks noTextEdit="1"/>
            </xdr:cNvSpPr>
          </xdr:nvSpPr>
          <xdr:spPr>
            <a:xfrm>
              <a:off x="7936653" y="4715934"/>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Kumari" refreshedDate="46161.961597569447" createdVersion="8" refreshedVersion="8" minRefreshableVersion="3" recordCount="100" xr:uid="{E461F668-5AC2-4FAA-80F1-569296D1792A}">
  <cacheSource type="worksheet">
    <worksheetSource name="Table1"/>
  </cacheSource>
  <cacheFields count="24">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30306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s v="Carrier B"/>
    <n v="2.9565721394308002"/>
    <x v="0"/>
    <x v="0"/>
    <n v="29"/>
    <n v="215"/>
    <n v="29"/>
    <n v="46.279879240508301"/>
    <s v="Pending"/>
    <n v="0.226410360849925"/>
    <x v="0"/>
    <x v="0"/>
    <n v="187.75207545920301"/>
  </r>
  <r>
    <x v="1"/>
    <s v="SKU1"/>
    <n v="14.8435232750843"/>
    <n v="95"/>
    <n v="736"/>
    <n v="7460.9000654458396"/>
    <s v="Female"/>
    <n v="53"/>
    <n v="30"/>
    <n v="37"/>
    <n v="2"/>
    <s v="Carrier A"/>
    <n v="9.7165747714313095"/>
    <x v="0"/>
    <x v="0"/>
    <n v="23"/>
    <n v="517"/>
    <n v="30"/>
    <n v="33.616768953730002"/>
    <s v="Pending"/>
    <n v="4.8540680263886999"/>
    <x v="0"/>
    <x v="0"/>
    <n v="503.06557914966902"/>
  </r>
  <r>
    <x v="0"/>
    <s v="SKU2"/>
    <n v="11.319683293090501"/>
    <n v="34"/>
    <n v="8"/>
    <n v="9577.7496258687297"/>
    <s v="Unknown"/>
    <n v="1"/>
    <n v="10"/>
    <n v="88"/>
    <n v="2"/>
    <s v="Carrier B"/>
    <n v="8.0544792617321495"/>
    <x v="1"/>
    <x v="0"/>
    <n v="12"/>
    <n v="971"/>
    <n v="27"/>
    <n v="30.6880193482842"/>
    <s v="Pending"/>
    <n v="4.5805926191992201"/>
    <x v="1"/>
    <x v="1"/>
    <n v="141.920281771519"/>
  </r>
  <r>
    <x v="1"/>
    <s v="SKU3"/>
    <n v="61.1633430164377"/>
    <n v="68"/>
    <n v="83"/>
    <n v="7766.8364256852301"/>
    <s v="Non-binary"/>
    <n v="23"/>
    <n v="13"/>
    <n v="59"/>
    <n v="6"/>
    <s v="Carrier C"/>
    <n v="1.7295685635434199"/>
    <x v="2"/>
    <x v="1"/>
    <n v="24"/>
    <n v="937"/>
    <n v="18"/>
    <n v="35.624741397125"/>
    <s v="Fail"/>
    <n v="4.7466486206477496"/>
    <x v="2"/>
    <x v="2"/>
    <n v="254.776159219286"/>
  </r>
  <r>
    <x v="1"/>
    <s v="SKU4"/>
    <n v="4.8054960363458896"/>
    <n v="26"/>
    <n v="871"/>
    <n v="2686.50515156744"/>
    <s v="Non-binary"/>
    <n v="5"/>
    <n v="3"/>
    <n v="56"/>
    <n v="8"/>
    <s v="Carrier A"/>
    <n v="3.8905479158706702"/>
    <x v="1"/>
    <x v="2"/>
    <n v="5"/>
    <n v="414"/>
    <n v="3"/>
    <n v="92.065160598712794"/>
    <s v="Fail"/>
    <n v="3.1455795228330001"/>
    <x v="1"/>
    <x v="2"/>
    <n v="923.44063171192204"/>
  </r>
  <r>
    <x v="0"/>
    <s v="SKU5"/>
    <n v="1.6999760138659299"/>
    <n v="87"/>
    <n v="147"/>
    <n v="2828.3487459757498"/>
    <s v="Non-binary"/>
    <n v="90"/>
    <n v="27"/>
    <n v="66"/>
    <n v="3"/>
    <s v="Carrier B"/>
    <n v="4.4440988643822896"/>
    <x v="3"/>
    <x v="3"/>
    <n v="10"/>
    <n v="104"/>
    <n v="17"/>
    <n v="56.766475557431797"/>
    <s v="Fail"/>
    <n v="2.7791935115711599"/>
    <x v="0"/>
    <x v="2"/>
    <n v="235.461236735537"/>
  </r>
  <r>
    <x v="1"/>
    <s v="SKU6"/>
    <n v="4.0783328631079403"/>
    <n v="48"/>
    <n v="65"/>
    <n v="7823.4765595317303"/>
    <s v="Male"/>
    <n v="11"/>
    <n v="15"/>
    <n v="58"/>
    <n v="8"/>
    <s v="Carrier C"/>
    <n v="3.8807633029519999"/>
    <x v="0"/>
    <x v="1"/>
    <n v="14"/>
    <n v="314"/>
    <n v="24"/>
    <n v="1.0850685695870601"/>
    <s v="Pending"/>
    <n v="1.0009106193041299"/>
    <x v="3"/>
    <x v="2"/>
    <n v="134.36909686103101"/>
  </r>
  <r>
    <x v="2"/>
    <s v="SKU7"/>
    <n v="42.958384382459997"/>
    <n v="59"/>
    <n v="426"/>
    <n v="8496.1038130898305"/>
    <s v="Female"/>
    <n v="93"/>
    <n v="17"/>
    <n v="11"/>
    <n v="1"/>
    <s v="Carrier B"/>
    <n v="2.3483387844177801"/>
    <x v="3"/>
    <x v="3"/>
    <n v="22"/>
    <n v="564"/>
    <n v="1"/>
    <n v="99.466108603599096"/>
    <s v="Fail"/>
    <n v="0.39817718685065001"/>
    <x v="0"/>
    <x v="1"/>
    <n v="802.05631181755803"/>
  </r>
  <r>
    <x v="2"/>
    <s v="SKU8"/>
    <n v="68.717596748527299"/>
    <n v="78"/>
    <n v="150"/>
    <n v="7517.3632106311197"/>
    <s v="Female"/>
    <n v="5"/>
    <n v="10"/>
    <n v="15"/>
    <n v="7"/>
    <s v="Carrier C"/>
    <n v="3.4047338570830199"/>
    <x v="3"/>
    <x v="0"/>
    <n v="13"/>
    <n v="769"/>
    <n v="8"/>
    <n v="11.423027139565599"/>
    <s v="Pending"/>
    <n v="2.7098626911099601"/>
    <x v="3"/>
    <x v="0"/>
    <n v="505.55713422546398"/>
  </r>
  <r>
    <x v="1"/>
    <s v="SKU9"/>
    <n v="64.0157329412785"/>
    <n v="35"/>
    <n v="980"/>
    <n v="4971.1459875855498"/>
    <s v="Unknown"/>
    <n v="14"/>
    <n v="27"/>
    <n v="83"/>
    <n v="1"/>
    <s v="Carrier A"/>
    <n v="7.1666452910482104"/>
    <x v="4"/>
    <x v="4"/>
    <n v="29"/>
    <n v="963"/>
    <n v="23"/>
    <n v="47.957601634951502"/>
    <s v="Pending"/>
    <n v="3.8446144787675798"/>
    <x v="2"/>
    <x v="0"/>
    <n v="995.92946149864099"/>
  </r>
  <r>
    <x v="1"/>
    <s v="SKU10"/>
    <n v="15.707795681912099"/>
    <n v="11"/>
    <n v="996"/>
    <n v="2330.9658020919401"/>
    <s v="Non-binary"/>
    <n v="51"/>
    <n v="13"/>
    <n v="80"/>
    <n v="2"/>
    <s v="Carrier C"/>
    <n v="8.6732112112786108"/>
    <x v="2"/>
    <x v="1"/>
    <n v="18"/>
    <n v="830"/>
    <n v="5"/>
    <n v="96.527352785310896"/>
    <s v="Pass"/>
    <n v="1.72731392835594"/>
    <x v="0"/>
    <x v="0"/>
    <n v="806.10317770292295"/>
  </r>
  <r>
    <x v="1"/>
    <s v="SKU11"/>
    <n v="90.635459982288594"/>
    <n v="95"/>
    <n v="960"/>
    <n v="6099.9441155814502"/>
    <s v="Female"/>
    <n v="46"/>
    <n v="23"/>
    <n v="60"/>
    <n v="1"/>
    <s v="Carrier A"/>
    <n v="4.5239431243166601"/>
    <x v="4"/>
    <x v="1"/>
    <n v="28"/>
    <n v="362"/>
    <n v="11"/>
    <n v="27.5923630866636"/>
    <s v="Pending"/>
    <n v="2.1169821372994301E-2"/>
    <x v="1"/>
    <x v="2"/>
    <n v="126.72303340940699"/>
  </r>
  <r>
    <x v="0"/>
    <s v="SKU12"/>
    <n v="71.213389075359999"/>
    <n v="41"/>
    <n v="336"/>
    <n v="2873.74144602144"/>
    <s v="Unknown"/>
    <n v="100"/>
    <n v="30"/>
    <n v="85"/>
    <n v="4"/>
    <s v="Carrier A"/>
    <n v="1.32527401018452"/>
    <x v="3"/>
    <x v="1"/>
    <n v="3"/>
    <n v="563"/>
    <n v="3"/>
    <n v="32.321286213424003"/>
    <s v="Fail"/>
    <n v="2.1612537475559099"/>
    <x v="0"/>
    <x v="0"/>
    <n v="402.96878907376998"/>
  </r>
  <r>
    <x v="1"/>
    <s v="SKU13"/>
    <n v="16.160393317379899"/>
    <n v="5"/>
    <n v="249"/>
    <n v="4052.7384162378598"/>
    <s v="Male"/>
    <n v="80"/>
    <n v="8"/>
    <n v="48"/>
    <n v="9"/>
    <s v="Carrier A"/>
    <n v="9.5372830611083295"/>
    <x v="2"/>
    <x v="3"/>
    <n v="23"/>
    <n v="173"/>
    <n v="10"/>
    <n v="97.829050110173199"/>
    <s v="Pending"/>
    <n v="1.63107423007153"/>
    <x v="0"/>
    <x v="0"/>
    <n v="547.24100516096803"/>
  </r>
  <r>
    <x v="1"/>
    <s v="SKU14"/>
    <n v="99.171328638624104"/>
    <n v="26"/>
    <n v="562"/>
    <n v="8653.5709264697998"/>
    <s v="Non-binary"/>
    <n v="54"/>
    <n v="29"/>
    <n v="78"/>
    <n v="5"/>
    <s v="Carrier B"/>
    <n v="2.0397701894493299"/>
    <x v="1"/>
    <x v="1"/>
    <n v="25"/>
    <n v="558"/>
    <n v="14"/>
    <n v="5.7914366298629796"/>
    <s v="Pending"/>
    <n v="0.100682851565093"/>
    <x v="1"/>
    <x v="0"/>
    <n v="929.23528996088896"/>
  </r>
  <r>
    <x v="1"/>
    <s v="SKU15"/>
    <n v="36.989244928626903"/>
    <n v="94"/>
    <n v="469"/>
    <n v="5442.0867853976697"/>
    <s v="Non-binary"/>
    <n v="9"/>
    <n v="8"/>
    <n v="69"/>
    <n v="7"/>
    <s v="Carrier B"/>
    <n v="2.4220397232752"/>
    <x v="1"/>
    <x v="3"/>
    <n v="14"/>
    <n v="580"/>
    <n v="7"/>
    <n v="97.121281751474299"/>
    <s v="Pass"/>
    <n v="2.2644057611985402"/>
    <x v="3"/>
    <x v="0"/>
    <n v="127.861800001625"/>
  </r>
  <r>
    <x v="1"/>
    <s v="SKU16"/>
    <n v="7.5471721097912701"/>
    <n v="74"/>
    <n v="280"/>
    <n v="6453.7979681762799"/>
    <s v="Female"/>
    <n v="2"/>
    <n v="5"/>
    <n v="78"/>
    <n v="1"/>
    <s v="Carrier B"/>
    <n v="4.1913245857054999"/>
    <x v="1"/>
    <x v="3"/>
    <n v="3"/>
    <n v="399"/>
    <n v="21"/>
    <n v="77.106342497849994"/>
    <s v="Pass"/>
    <n v="1.01256308925804"/>
    <x v="1"/>
    <x v="2"/>
    <n v="865.52577977123997"/>
  </r>
  <r>
    <x v="2"/>
    <s v="SKU17"/>
    <n v="81.462534369237005"/>
    <n v="82"/>
    <n v="126"/>
    <n v="2629.39643484526"/>
    <s v="Female"/>
    <n v="45"/>
    <n v="17"/>
    <n v="85"/>
    <n v="9"/>
    <s v="Carrier C"/>
    <n v="3.5854189582323399"/>
    <x v="1"/>
    <x v="4"/>
    <n v="7"/>
    <n v="453"/>
    <n v="16"/>
    <n v="47.679680368355299"/>
    <s v="Fail"/>
    <n v="0.102020754918176"/>
    <x v="1"/>
    <x v="1"/>
    <n v="670.93439079241"/>
  </r>
  <r>
    <x v="0"/>
    <s v="SKU18"/>
    <n v="36.4436277704609"/>
    <n v="23"/>
    <n v="620"/>
    <n v="9364.6735050761708"/>
    <s v="Unknown"/>
    <n v="10"/>
    <n v="10"/>
    <n v="46"/>
    <n v="8"/>
    <s v="Carrier C"/>
    <n v="4.3392247141107001"/>
    <x v="4"/>
    <x v="1"/>
    <n v="18"/>
    <n v="374"/>
    <n v="17"/>
    <n v="27.107980854843898"/>
    <s v="Pending"/>
    <n v="2.2319391107292601"/>
    <x v="3"/>
    <x v="2"/>
    <n v="593.48025872065102"/>
  </r>
  <r>
    <x v="1"/>
    <s v="SKU19"/>
    <n v="51.123870087964697"/>
    <n v="100"/>
    <n v="187"/>
    <n v="2553.4955849912099"/>
    <s v="Unknown"/>
    <n v="48"/>
    <n v="11"/>
    <n v="94"/>
    <n v="3"/>
    <s v="Carrier A"/>
    <n v="4.7426358828418698"/>
    <x v="3"/>
    <x v="4"/>
    <n v="20"/>
    <n v="694"/>
    <n v="16"/>
    <n v="82.373320587990193"/>
    <s v="Fail"/>
    <n v="3.64645086541702"/>
    <x v="0"/>
    <x v="1"/>
    <n v="477.30763109090299"/>
  </r>
  <r>
    <x v="1"/>
    <s v="SKU20"/>
    <n v="96.341072439963298"/>
    <n v="22"/>
    <n v="320"/>
    <n v="8128.0276968511898"/>
    <s v="Unknown"/>
    <n v="27"/>
    <n v="12"/>
    <n v="68"/>
    <n v="6"/>
    <s v="Carrier A"/>
    <n v="8.8783346509268402"/>
    <x v="1"/>
    <x v="4"/>
    <n v="29"/>
    <n v="309"/>
    <n v="6"/>
    <n v="65.686259608488598"/>
    <s v="Pass"/>
    <n v="4.2314165735345304"/>
    <x v="1"/>
    <x v="0"/>
    <n v="493.871215316205"/>
  </r>
  <r>
    <x v="2"/>
    <s v="SKU21"/>
    <n v="84.893868984950799"/>
    <n v="60"/>
    <n v="601"/>
    <n v="7087.0526963574302"/>
    <s v="Unknown"/>
    <n v="69"/>
    <n v="25"/>
    <n v="7"/>
    <n v="6"/>
    <s v="Carrier B"/>
    <n v="6.0378837692182898"/>
    <x v="2"/>
    <x v="4"/>
    <n v="19"/>
    <n v="791"/>
    <n v="4"/>
    <n v="61.735728954160898"/>
    <s v="Pending"/>
    <n v="1.8607567631014899E-2"/>
    <x v="1"/>
    <x v="1"/>
    <n v="523.36091472015801"/>
  </r>
  <r>
    <x v="0"/>
    <s v="SKU22"/>
    <n v="27.679780886501899"/>
    <n v="55"/>
    <n v="884"/>
    <n v="2390.8078665561702"/>
    <s v="Unknown"/>
    <n v="71"/>
    <n v="1"/>
    <n v="63"/>
    <n v="10"/>
    <s v="Carrier A"/>
    <n v="9.5676489209230393"/>
    <x v="3"/>
    <x v="1"/>
    <n v="22"/>
    <n v="780"/>
    <n v="28"/>
    <n v="50.120839612977299"/>
    <s v="Fail"/>
    <n v="2.5912754732111098"/>
    <x v="2"/>
    <x v="1"/>
    <n v="205.57199582694699"/>
  </r>
  <r>
    <x v="2"/>
    <s v="SKU23"/>
    <n v="4.3243411858641601"/>
    <n v="30"/>
    <n v="391"/>
    <n v="8858.3675710114803"/>
    <s v="Unknown"/>
    <n v="84"/>
    <n v="5"/>
    <n v="29"/>
    <n v="7"/>
    <s v="Carrier A"/>
    <n v="2.92485760114555"/>
    <x v="2"/>
    <x v="1"/>
    <n v="11"/>
    <n v="568"/>
    <n v="29"/>
    <n v="98.6099572427038"/>
    <s v="Pending"/>
    <n v="1.3422915627227301"/>
    <x v="2"/>
    <x v="2"/>
    <n v="196.329446112412"/>
  </r>
  <r>
    <x v="0"/>
    <s v="SKU24"/>
    <n v="4.1563083593111001"/>
    <n v="32"/>
    <n v="209"/>
    <n v="9049.0778609398894"/>
    <s v="Male"/>
    <n v="4"/>
    <n v="26"/>
    <n v="2"/>
    <n v="8"/>
    <s v="Carrier C"/>
    <n v="9.7412916892843597"/>
    <x v="4"/>
    <x v="3"/>
    <n v="28"/>
    <n v="447"/>
    <n v="3"/>
    <n v="40.382359702924802"/>
    <s v="Pending"/>
    <n v="3.69131029262872"/>
    <x v="1"/>
    <x v="2"/>
    <n v="758.72477260293795"/>
  </r>
  <r>
    <x v="0"/>
    <s v="SKU25"/>
    <n v="39.629343985092603"/>
    <n v="73"/>
    <n v="142"/>
    <n v="2174.7770543506499"/>
    <s v="Male"/>
    <n v="82"/>
    <n v="11"/>
    <n v="52"/>
    <n v="3"/>
    <s v="Carrier C"/>
    <n v="2.2310736812817198"/>
    <x v="3"/>
    <x v="1"/>
    <n v="19"/>
    <n v="934"/>
    <n v="23"/>
    <n v="78.280383118415301"/>
    <s v="Pending"/>
    <n v="3.79723121711418"/>
    <x v="0"/>
    <x v="0"/>
    <n v="458.53594573920901"/>
  </r>
  <r>
    <x v="0"/>
    <s v="SKU26"/>
    <n v="97.446946617892806"/>
    <n v="9"/>
    <n v="353"/>
    <n v="3716.49332589403"/>
    <s v="Male"/>
    <n v="59"/>
    <n v="16"/>
    <n v="48"/>
    <n v="4"/>
    <s v="Carrier B"/>
    <n v="6.5075486210785503"/>
    <x v="4"/>
    <x v="3"/>
    <n v="26"/>
    <n v="171"/>
    <n v="4"/>
    <n v="15.972229757181699"/>
    <s v="Pass"/>
    <n v="2.1193197367249201"/>
    <x v="2"/>
    <x v="2"/>
    <n v="617.86691645837698"/>
  </r>
  <r>
    <x v="2"/>
    <s v="SKU27"/>
    <n v="92.557360812401996"/>
    <n v="42"/>
    <n v="352"/>
    <n v="2686.4572235759802"/>
    <s v="Unknown"/>
    <n v="47"/>
    <n v="9"/>
    <n v="62"/>
    <n v="8"/>
    <s v="Carrier C"/>
    <n v="7.4067509529980704"/>
    <x v="2"/>
    <x v="0"/>
    <n v="25"/>
    <n v="291"/>
    <n v="4"/>
    <n v="10.5282450700421"/>
    <s v="Fail"/>
    <n v="2.8646678378833701"/>
    <x v="3"/>
    <x v="0"/>
    <n v="762.45918215568304"/>
  </r>
  <r>
    <x v="2"/>
    <s v="SKU28"/>
    <n v="2.3972747055971402"/>
    <n v="12"/>
    <n v="394"/>
    <n v="6117.3246150839896"/>
    <s v="Female"/>
    <n v="48"/>
    <n v="15"/>
    <n v="24"/>
    <n v="4"/>
    <s v="Carrier B"/>
    <n v="9.8981405080692202"/>
    <x v="1"/>
    <x v="0"/>
    <n v="13"/>
    <n v="171"/>
    <n v="7"/>
    <n v="59.429381810691503"/>
    <s v="Fail"/>
    <n v="0.81575707929567198"/>
    <x v="1"/>
    <x v="2"/>
    <n v="123.437027511827"/>
  </r>
  <r>
    <x v="2"/>
    <s v="SKU29"/>
    <n v="63.447559185207297"/>
    <n v="3"/>
    <n v="253"/>
    <n v="8318.9031946171708"/>
    <s v="Female"/>
    <n v="45"/>
    <n v="5"/>
    <n v="67"/>
    <n v="7"/>
    <s v="Carrier B"/>
    <n v="8.1009731453970293"/>
    <x v="1"/>
    <x v="1"/>
    <n v="16"/>
    <n v="329"/>
    <n v="7"/>
    <n v="39.292875586065698"/>
    <s v="Pass"/>
    <n v="3.8780989365884802"/>
    <x v="0"/>
    <x v="0"/>
    <n v="764.93537594070801"/>
  </r>
  <r>
    <x v="0"/>
    <s v="SKU30"/>
    <n v="8.0228592105263896"/>
    <n v="10"/>
    <n v="327"/>
    <n v="2766.3423668660798"/>
    <s v="Male"/>
    <n v="60"/>
    <n v="26"/>
    <n v="35"/>
    <n v="7"/>
    <s v="Carrier B"/>
    <n v="8.9545283153180097"/>
    <x v="3"/>
    <x v="1"/>
    <n v="27"/>
    <n v="806"/>
    <n v="30"/>
    <n v="51.634893400109299"/>
    <s v="Pending"/>
    <n v="0.96539470535239302"/>
    <x v="0"/>
    <x v="1"/>
    <n v="880.08098824716103"/>
  </r>
  <r>
    <x v="1"/>
    <s v="SKU31"/>
    <n v="50.847393051718697"/>
    <n v="28"/>
    <n v="168"/>
    <n v="9655.1351027193905"/>
    <s v="Male"/>
    <n v="6"/>
    <n v="17"/>
    <n v="44"/>
    <n v="4"/>
    <s v="Carrier B"/>
    <n v="2.6796609649813998"/>
    <x v="0"/>
    <x v="4"/>
    <n v="24"/>
    <n v="461"/>
    <n v="8"/>
    <n v="60.251145661598002"/>
    <s v="Pending"/>
    <n v="2.9890000066550702"/>
    <x v="2"/>
    <x v="1"/>
    <n v="609.379206618426"/>
  </r>
  <r>
    <x v="1"/>
    <s v="SKU32"/>
    <n v="79.209936015656695"/>
    <n v="43"/>
    <n v="781"/>
    <n v="9571.5504873278096"/>
    <s v="Unknown"/>
    <n v="89"/>
    <n v="13"/>
    <n v="64"/>
    <n v="4"/>
    <s v="Carrier C"/>
    <n v="6.5991049012385803"/>
    <x v="0"/>
    <x v="1"/>
    <n v="30"/>
    <n v="737"/>
    <n v="7"/>
    <n v="29.6924671537497"/>
    <s v="Pass"/>
    <n v="1.94603611938611"/>
    <x v="0"/>
    <x v="2"/>
    <n v="761.17390951487698"/>
  </r>
  <r>
    <x v="2"/>
    <s v="SKU33"/>
    <n v="64.795435000155607"/>
    <n v="63"/>
    <n v="616"/>
    <n v="5149.9983504080301"/>
    <s v="Non-binary"/>
    <n v="4"/>
    <n v="17"/>
    <n v="95"/>
    <n v="9"/>
    <s v="Carrier C"/>
    <n v="4.85827050343664"/>
    <x v="2"/>
    <x v="4"/>
    <n v="1"/>
    <n v="251"/>
    <n v="23"/>
    <n v="23.853427512896101"/>
    <s v="Fail"/>
    <n v="3.54104601225092"/>
    <x v="3"/>
    <x v="2"/>
    <n v="371.25529551987103"/>
  </r>
  <r>
    <x v="1"/>
    <s v="SKU34"/>
    <n v="37.467592329842397"/>
    <n v="96"/>
    <n v="602"/>
    <n v="9061.7108955077201"/>
    <s v="Unknown"/>
    <n v="1"/>
    <n v="26"/>
    <n v="21"/>
    <n v="7"/>
    <s v="Carrier A"/>
    <n v="1.0194875708221101"/>
    <x v="1"/>
    <x v="4"/>
    <n v="4"/>
    <n v="452"/>
    <n v="10"/>
    <n v="10.754272815029299"/>
    <s v="Pass"/>
    <n v="0.64660455937205397"/>
    <x v="0"/>
    <x v="0"/>
    <n v="510.35800043352299"/>
  </r>
  <r>
    <x v="2"/>
    <s v="SKU35"/>
    <n v="84.957786816350406"/>
    <n v="11"/>
    <n v="449"/>
    <n v="6541.3293448024597"/>
    <s v="Female"/>
    <n v="42"/>
    <n v="27"/>
    <n v="85"/>
    <n v="8"/>
    <s v="Carrier C"/>
    <n v="5.2881899903273997"/>
    <x v="1"/>
    <x v="2"/>
    <n v="3"/>
    <n v="367"/>
    <n v="2"/>
    <n v="58.004787044743701"/>
    <s v="Pass"/>
    <n v="0.54115409806058101"/>
    <x v="3"/>
    <x v="1"/>
    <n v="553.42047123035502"/>
  </r>
  <r>
    <x v="1"/>
    <s v="SKU36"/>
    <n v="9.81300257875405"/>
    <n v="34"/>
    <n v="963"/>
    <n v="7573.4024578487297"/>
    <s v="Female"/>
    <n v="18"/>
    <n v="23"/>
    <n v="28"/>
    <n v="3"/>
    <s v="Carrier B"/>
    <n v="2.1079512671590801"/>
    <x v="4"/>
    <x v="2"/>
    <n v="26"/>
    <n v="671"/>
    <n v="19"/>
    <n v="45.531364237162101"/>
    <s v="Fail"/>
    <n v="3.8055333792433501"/>
    <x v="1"/>
    <x v="1"/>
    <n v="403.80897424817999"/>
  </r>
  <r>
    <x v="1"/>
    <s v="SKU37"/>
    <n v="23.3998447526143"/>
    <n v="5"/>
    <n v="963"/>
    <n v="2438.3399304700201"/>
    <s v="Female"/>
    <n v="25"/>
    <n v="8"/>
    <n v="21"/>
    <n v="9"/>
    <s v="Carrier A"/>
    <n v="1.53265527359043"/>
    <x v="0"/>
    <x v="1"/>
    <n v="24"/>
    <n v="867"/>
    <n v="15"/>
    <n v="34.343277465075303"/>
    <s v="Pending"/>
    <n v="2.61028808484811"/>
    <x v="3"/>
    <x v="2"/>
    <n v="183.932968043594"/>
  </r>
  <r>
    <x v="2"/>
    <s v="SKU38"/>
    <n v="52.075930682707799"/>
    <n v="75"/>
    <n v="705"/>
    <n v="9692.3180402184298"/>
    <s v="Non-binary"/>
    <n v="69"/>
    <n v="1"/>
    <n v="88"/>
    <n v="5"/>
    <s v="Carrier B"/>
    <n v="9.2359314372492207"/>
    <x v="2"/>
    <x v="0"/>
    <n v="10"/>
    <n v="841"/>
    <n v="12"/>
    <n v="5.9306936455283097"/>
    <s v="Pending"/>
    <n v="0.613326899164507"/>
    <x v="1"/>
    <x v="0"/>
    <n v="339.67286994860598"/>
  </r>
  <r>
    <x v="1"/>
    <s v="SKU39"/>
    <n v="19.127477265823199"/>
    <n v="26"/>
    <n v="176"/>
    <n v="1912.4656631007599"/>
    <s v="Female"/>
    <n v="78"/>
    <n v="29"/>
    <n v="34"/>
    <n v="3"/>
    <s v="Carrier A"/>
    <n v="5.5625037788303802"/>
    <x v="4"/>
    <x v="1"/>
    <n v="30"/>
    <n v="791"/>
    <n v="6"/>
    <n v="9.0058074287816403"/>
    <s v="Fail"/>
    <n v="1.4519722039968099"/>
    <x v="1"/>
    <x v="0"/>
    <n v="653.67299455203295"/>
  </r>
  <r>
    <x v="1"/>
    <s v="SKU40"/>
    <n v="80.541424170940303"/>
    <n v="97"/>
    <n v="933"/>
    <n v="5724.9593504562599"/>
    <s v="Female"/>
    <n v="90"/>
    <n v="20"/>
    <n v="39"/>
    <n v="8"/>
    <s v="Carrier C"/>
    <n v="7.2295951397364702"/>
    <x v="1"/>
    <x v="1"/>
    <n v="18"/>
    <n v="793"/>
    <n v="1"/>
    <n v="88.179407104217404"/>
    <s v="Pending"/>
    <n v="4.2132694305865597"/>
    <x v="0"/>
    <x v="2"/>
    <n v="529.80872398069096"/>
  </r>
  <r>
    <x v="1"/>
    <s v="SKU41"/>
    <n v="99.113291615317095"/>
    <n v="35"/>
    <n v="556"/>
    <n v="5521.2052590109697"/>
    <s v="Female"/>
    <n v="64"/>
    <n v="19"/>
    <n v="38"/>
    <n v="8"/>
    <s v="Carrier B"/>
    <n v="5.7732637437666501"/>
    <x v="3"/>
    <x v="4"/>
    <n v="18"/>
    <n v="892"/>
    <n v="7"/>
    <n v="95.332064548772493"/>
    <s v="Fail"/>
    <n v="4.5302262398259602E-2"/>
    <x v="3"/>
    <x v="2"/>
    <n v="275.52437113130901"/>
  </r>
  <r>
    <x v="1"/>
    <s v="SKU42"/>
    <n v="46.529167614516702"/>
    <n v="98"/>
    <n v="155"/>
    <n v="1839.60942585676"/>
    <s v="Female"/>
    <n v="22"/>
    <n v="27"/>
    <n v="57"/>
    <n v="4"/>
    <s v="Carrier C"/>
    <n v="7.5262483268515004"/>
    <x v="2"/>
    <x v="3"/>
    <n v="26"/>
    <n v="179"/>
    <n v="7"/>
    <n v="96.422820639571796"/>
    <s v="Fail"/>
    <n v="4.9392552886209398"/>
    <x v="0"/>
    <x v="2"/>
    <n v="635.65712050199102"/>
  </r>
  <r>
    <x v="0"/>
    <s v="SKU43"/>
    <n v="11.7432717763092"/>
    <n v="6"/>
    <n v="598"/>
    <n v="5737.4255991190203"/>
    <s v="Unknown"/>
    <n v="36"/>
    <n v="29"/>
    <n v="85"/>
    <n v="9"/>
    <s v="Carrier B"/>
    <n v="3.6940212683884499"/>
    <x v="2"/>
    <x v="0"/>
    <n v="1"/>
    <n v="206"/>
    <n v="23"/>
    <n v="26.2773659573324"/>
    <s v="Pending"/>
    <n v="0.37230476798509698"/>
    <x v="1"/>
    <x v="2"/>
    <n v="716.04411975933999"/>
  </r>
  <r>
    <x v="2"/>
    <s v="SKU44"/>
    <n v="51.355790913110297"/>
    <n v="34"/>
    <n v="919"/>
    <n v="7152.28604943551"/>
    <s v="Female"/>
    <n v="13"/>
    <n v="19"/>
    <n v="72"/>
    <n v="6"/>
    <s v="Carrier C"/>
    <n v="7.5774496573766896"/>
    <x v="4"/>
    <x v="2"/>
    <n v="7"/>
    <n v="834"/>
    <n v="18"/>
    <n v="22.554106620887701"/>
    <s v="Fail"/>
    <n v="2.9626263204548802"/>
    <x v="2"/>
    <x v="2"/>
    <n v="610.45326961922694"/>
  </r>
  <r>
    <x v="0"/>
    <s v="SKU45"/>
    <n v="33.784138033065503"/>
    <n v="1"/>
    <n v="24"/>
    <n v="5267.9568075105199"/>
    <s v="Male"/>
    <n v="93"/>
    <n v="7"/>
    <n v="52"/>
    <n v="6"/>
    <s v="Carrier B"/>
    <n v="5.2151550087119096"/>
    <x v="4"/>
    <x v="4"/>
    <n v="25"/>
    <n v="794"/>
    <n v="25"/>
    <n v="66.312544439991598"/>
    <s v="Pass"/>
    <n v="3.2196046120841002"/>
    <x v="2"/>
    <x v="2"/>
    <n v="495.30569702847299"/>
  </r>
  <r>
    <x v="0"/>
    <s v="SKU46"/>
    <n v="27.082207199888899"/>
    <n v="75"/>
    <n v="859"/>
    <n v="2556.7673606335902"/>
    <s v="Non-binary"/>
    <n v="92"/>
    <n v="29"/>
    <n v="6"/>
    <n v="8"/>
    <s v="Carrier B"/>
    <n v="4.0709558370840799"/>
    <x v="0"/>
    <x v="4"/>
    <n v="18"/>
    <n v="870"/>
    <n v="23"/>
    <n v="77.322353211051606"/>
    <s v="Pending"/>
    <n v="3.6486105925361998"/>
    <x v="0"/>
    <x v="0"/>
    <n v="380.43593711196399"/>
  </r>
  <r>
    <x v="1"/>
    <s v="SKU47"/>
    <n v="95.712135880936003"/>
    <n v="93"/>
    <n v="910"/>
    <n v="7089.4742499341801"/>
    <s v="Male"/>
    <n v="4"/>
    <n v="15"/>
    <n v="51"/>
    <n v="9"/>
    <s v="Carrier B"/>
    <n v="8.9787507559499709"/>
    <x v="1"/>
    <x v="1"/>
    <n v="10"/>
    <n v="964"/>
    <n v="20"/>
    <n v="19.7129929112936"/>
    <s v="Pending"/>
    <n v="0.38057358671321301"/>
    <x v="2"/>
    <x v="2"/>
    <n v="581.60235505058597"/>
  </r>
  <r>
    <x v="0"/>
    <s v="SKU48"/>
    <n v="76.035544426891704"/>
    <n v="28"/>
    <n v="29"/>
    <n v="7397.0710045871801"/>
    <s v="Non-binary"/>
    <n v="30"/>
    <n v="16"/>
    <n v="9"/>
    <n v="3"/>
    <s v="Carrier C"/>
    <n v="7.0958331565551296"/>
    <x v="4"/>
    <x v="0"/>
    <n v="9"/>
    <n v="109"/>
    <n v="18"/>
    <n v="23.126363582464698"/>
    <s v="Fail"/>
    <n v="1.6981125407144"/>
    <x v="2"/>
    <x v="0"/>
    <n v="768.65191395437"/>
  </r>
  <r>
    <x v="2"/>
    <s v="SKU49"/>
    <n v="78.897913205639995"/>
    <n v="19"/>
    <n v="99"/>
    <n v="8001.6132065190004"/>
    <s v="Unknown"/>
    <n v="97"/>
    <n v="24"/>
    <n v="9"/>
    <n v="6"/>
    <s v="Carrier C"/>
    <n v="2.5056210329009101"/>
    <x v="2"/>
    <x v="2"/>
    <n v="28"/>
    <n v="177"/>
    <n v="28"/>
    <n v="14.1478154439792"/>
    <s v="Pass"/>
    <n v="2.8258139854001301"/>
    <x v="2"/>
    <x v="2"/>
    <n v="336.89016851997701"/>
  </r>
  <r>
    <x v="2"/>
    <s v="SKU50"/>
    <n v="14.203484264803"/>
    <n v="91"/>
    <n v="633"/>
    <n v="5910.8853896688897"/>
    <s v="Female"/>
    <n v="31"/>
    <n v="23"/>
    <n v="82"/>
    <n v="10"/>
    <s v="Carrier A"/>
    <n v="6.2478609149759903"/>
    <x v="4"/>
    <x v="2"/>
    <n v="20"/>
    <n v="306"/>
    <n v="21"/>
    <n v="45.178757924634503"/>
    <s v="Fail"/>
    <n v="4.7548008046711798"/>
    <x v="2"/>
    <x v="0"/>
    <n v="496.24865029194001"/>
  </r>
  <r>
    <x v="0"/>
    <s v="SKU51"/>
    <n v="26.700760972461701"/>
    <n v="61"/>
    <n v="154"/>
    <n v="9866.4654579796897"/>
    <s v="Male"/>
    <n v="100"/>
    <n v="4"/>
    <n v="52"/>
    <n v="1"/>
    <s v="Carrier A"/>
    <n v="4.78300055794766"/>
    <x v="2"/>
    <x v="3"/>
    <n v="18"/>
    <n v="673"/>
    <n v="28"/>
    <n v="14.190328344569901"/>
    <s v="Pending"/>
    <n v="1.77295117208355"/>
    <x v="0"/>
    <x v="2"/>
    <n v="694.98231757944495"/>
  </r>
  <r>
    <x v="1"/>
    <s v="SKU52"/>
    <n v="98.031829656465007"/>
    <n v="1"/>
    <n v="820"/>
    <n v="9435.7626089121295"/>
    <s v="Male"/>
    <n v="64"/>
    <n v="11"/>
    <n v="11"/>
    <n v="1"/>
    <s v="Carrier B"/>
    <n v="8.6310521797689397"/>
    <x v="1"/>
    <x v="0"/>
    <n v="10"/>
    <n v="727"/>
    <n v="27"/>
    <n v="9.1668491485971497"/>
    <s v="Pending"/>
    <n v="2.1224716191438202"/>
    <x v="1"/>
    <x v="1"/>
    <n v="602.89849883838303"/>
  </r>
  <r>
    <x v="1"/>
    <s v="SKU53"/>
    <n v="30.3414707112142"/>
    <n v="93"/>
    <n v="242"/>
    <n v="8232.3348294258194"/>
    <s v="Male"/>
    <n v="96"/>
    <n v="25"/>
    <n v="54"/>
    <n v="3"/>
    <s v="Carrier B"/>
    <n v="1.0134865660958901"/>
    <x v="1"/>
    <x v="2"/>
    <n v="1"/>
    <n v="631"/>
    <n v="17"/>
    <n v="83.344058991677898"/>
    <s v="Pending"/>
    <n v="1.41034757607602"/>
    <x v="1"/>
    <x v="0"/>
    <n v="750.73784066827"/>
  </r>
  <r>
    <x v="0"/>
    <s v="SKU54"/>
    <n v="31.1462431602408"/>
    <n v="11"/>
    <n v="622"/>
    <n v="6088.0214799408504"/>
    <s v="Non-binary"/>
    <n v="33"/>
    <n v="22"/>
    <n v="61"/>
    <n v="3"/>
    <s v="Carrier B"/>
    <n v="4.3051034712876302"/>
    <x v="1"/>
    <x v="1"/>
    <n v="26"/>
    <n v="497"/>
    <n v="29"/>
    <n v="30.186023375822501"/>
    <s v="Pass"/>
    <n v="2.4787719755397402"/>
    <x v="0"/>
    <x v="0"/>
    <n v="814.06999658218695"/>
  </r>
  <r>
    <x v="0"/>
    <s v="SKU55"/>
    <n v="79.855058340789398"/>
    <n v="16"/>
    <n v="701"/>
    <n v="2925.6751703038099"/>
    <s v="Male"/>
    <n v="97"/>
    <n v="11"/>
    <n v="11"/>
    <n v="5"/>
    <s v="Carrier A"/>
    <n v="5.0143649550309002"/>
    <x v="4"/>
    <x v="2"/>
    <n v="27"/>
    <n v="918"/>
    <n v="5"/>
    <n v="30.323545256616502"/>
    <s v="Fail"/>
    <n v="4.5489196593963799"/>
    <x v="3"/>
    <x v="0"/>
    <n v="323.01292795247798"/>
  </r>
  <r>
    <x v="1"/>
    <s v="SKU56"/>
    <n v="20.9863860370433"/>
    <n v="90"/>
    <n v="93"/>
    <n v="4767.0204843441297"/>
    <s v="Non-binary"/>
    <n v="25"/>
    <n v="23"/>
    <n v="83"/>
    <n v="5"/>
    <s v="Carrier C"/>
    <n v="1.77442971407173"/>
    <x v="1"/>
    <x v="0"/>
    <n v="24"/>
    <n v="826"/>
    <n v="28"/>
    <n v="12.8362845728327"/>
    <s v="Pass"/>
    <n v="1.1737554953874501"/>
    <x v="1"/>
    <x v="0"/>
    <n v="832.210808706021"/>
  </r>
  <r>
    <x v="0"/>
    <s v="SKU57"/>
    <n v="49.263205350734097"/>
    <n v="65"/>
    <n v="227"/>
    <n v="1605.8669003924001"/>
    <s v="Unknown"/>
    <n v="5"/>
    <n v="18"/>
    <n v="51"/>
    <n v="1"/>
    <s v="Carrier B"/>
    <n v="9.1605585353818704"/>
    <x v="4"/>
    <x v="2"/>
    <n v="21"/>
    <n v="588"/>
    <n v="25"/>
    <n v="67.779622987078099"/>
    <s v="Pending"/>
    <n v="2.5111748302126999"/>
    <x v="2"/>
    <x v="2"/>
    <n v="482.19123860252802"/>
  </r>
  <r>
    <x v="1"/>
    <s v="SKU58"/>
    <n v="59.841561377289302"/>
    <n v="81"/>
    <n v="896"/>
    <n v="2021.1498103371"/>
    <s v="Non-binary"/>
    <n v="10"/>
    <n v="5"/>
    <n v="44"/>
    <n v="7"/>
    <s v="Carrier A"/>
    <n v="4.9384385647120901"/>
    <x v="0"/>
    <x v="2"/>
    <n v="18"/>
    <n v="396"/>
    <n v="7"/>
    <n v="65.047415094691402"/>
    <s v="Fail"/>
    <n v="1.7303747198591899"/>
    <x v="0"/>
    <x v="0"/>
    <n v="110.364335231364"/>
  </r>
  <r>
    <x v="2"/>
    <s v="SKU59"/>
    <n v="63.828398347710902"/>
    <n v="30"/>
    <n v="484"/>
    <n v="1061.6185230132801"/>
    <s v="Non-binary"/>
    <n v="100"/>
    <n v="16"/>
    <n v="26"/>
    <n v="7"/>
    <s v="Carrier B"/>
    <n v="7.2937225968677204"/>
    <x v="1"/>
    <x v="1"/>
    <n v="11"/>
    <n v="176"/>
    <n v="4"/>
    <n v="1.90076224351945"/>
    <s v="Fail"/>
    <n v="0.44719401546382298"/>
    <x v="1"/>
    <x v="2"/>
    <n v="312.57427361009297"/>
  </r>
  <r>
    <x v="1"/>
    <s v="SKU60"/>
    <n v="17.028027920188698"/>
    <n v="16"/>
    <n v="380"/>
    <n v="8864.0843495864301"/>
    <s v="Female"/>
    <n v="41"/>
    <n v="27"/>
    <n v="72"/>
    <n v="8"/>
    <s v="Carrier C"/>
    <n v="4.3813681581023101"/>
    <x v="3"/>
    <x v="0"/>
    <n v="29"/>
    <n v="929"/>
    <n v="24"/>
    <n v="87.213057815135599"/>
    <s v="Fail"/>
    <n v="2.8530906166490499"/>
    <x v="2"/>
    <x v="2"/>
    <n v="430.16909697513597"/>
  </r>
  <r>
    <x v="0"/>
    <s v="SKU61"/>
    <n v="52.028749903294901"/>
    <n v="23"/>
    <n v="117"/>
    <n v="6885.5893508962499"/>
    <s v="Unknown"/>
    <n v="32"/>
    <n v="23"/>
    <n v="36"/>
    <n v="7"/>
    <s v="Carrier C"/>
    <n v="9.0303404225219399"/>
    <x v="3"/>
    <x v="1"/>
    <n v="14"/>
    <n v="480"/>
    <n v="12"/>
    <n v="78.702393968878894"/>
    <s v="Fail"/>
    <n v="4.3674705382050503"/>
    <x v="1"/>
    <x v="2"/>
    <n v="164.366528243419"/>
  </r>
  <r>
    <x v="2"/>
    <s v="SKU62"/>
    <n v="72.796353955587307"/>
    <n v="89"/>
    <n v="270"/>
    <n v="3899.7468337292198"/>
    <s v="Unknown"/>
    <n v="86"/>
    <n v="2"/>
    <n v="40"/>
    <n v="7"/>
    <s v="Carrier C"/>
    <n v="7.2917013887767697"/>
    <x v="4"/>
    <x v="0"/>
    <n v="13"/>
    <n v="751"/>
    <n v="14"/>
    <n v="21.048642725168602"/>
    <s v="Pass"/>
    <n v="1.87400140404437"/>
    <x v="3"/>
    <x v="1"/>
    <n v="320.84651575911101"/>
  </r>
  <r>
    <x v="1"/>
    <s v="SKU63"/>
    <n v="13.0173767852878"/>
    <n v="55"/>
    <n v="246"/>
    <n v="4256.9491408502199"/>
    <s v="Non-binary"/>
    <n v="54"/>
    <n v="19"/>
    <n v="10"/>
    <n v="4"/>
    <s v="Carrier A"/>
    <n v="2.45793352798733"/>
    <x v="0"/>
    <x v="3"/>
    <n v="18"/>
    <n v="736"/>
    <n v="10"/>
    <n v="20.075003975630398"/>
    <s v="Pending"/>
    <n v="3.6328432903821302"/>
    <x v="3"/>
    <x v="2"/>
    <n v="687.28617786641701"/>
  </r>
  <r>
    <x v="1"/>
    <s v="SKU64"/>
    <n v="89.634095608135297"/>
    <n v="11"/>
    <n v="134"/>
    <n v="8458.7308783671706"/>
    <s v="Female"/>
    <n v="73"/>
    <n v="27"/>
    <n v="75"/>
    <n v="6"/>
    <s v="Carrier C"/>
    <n v="4.5853534681946497"/>
    <x v="1"/>
    <x v="2"/>
    <n v="17"/>
    <n v="328"/>
    <n v="6"/>
    <n v="8.6930424258772803"/>
    <s v="Fail"/>
    <n v="0.15948631471751401"/>
    <x v="1"/>
    <x v="1"/>
    <n v="771.225084681157"/>
  </r>
  <r>
    <x v="1"/>
    <s v="SKU65"/>
    <n v="33.697717206643098"/>
    <n v="72"/>
    <n v="457"/>
    <n v="8354.5796864819895"/>
    <s v="Male"/>
    <n v="57"/>
    <n v="24"/>
    <n v="54"/>
    <n v="8"/>
    <s v="Carrier C"/>
    <n v="6.5805413478845898"/>
    <x v="2"/>
    <x v="1"/>
    <n v="16"/>
    <n v="358"/>
    <n v="21"/>
    <n v="1.59722274305067"/>
    <s v="Fail"/>
    <n v="4.9110959548423301"/>
    <x v="2"/>
    <x v="1"/>
    <n v="555.85910367174301"/>
  </r>
  <r>
    <x v="1"/>
    <s v="SKU66"/>
    <n v="26.034869773962001"/>
    <n v="52"/>
    <n v="704"/>
    <n v="8367.7216180201503"/>
    <s v="Female"/>
    <n v="13"/>
    <n v="17"/>
    <n v="19"/>
    <n v="8"/>
    <s v="Carrier A"/>
    <n v="2.2161427287713602"/>
    <x v="2"/>
    <x v="1"/>
    <n v="24"/>
    <n v="867"/>
    <n v="28"/>
    <n v="42.084436738309897"/>
    <s v="Fail"/>
    <n v="3.44806328834026"/>
    <x v="0"/>
    <x v="2"/>
    <n v="393.84334857842703"/>
  </r>
  <r>
    <x v="1"/>
    <s v="SKU67"/>
    <n v="87.755432354001002"/>
    <n v="16"/>
    <n v="513"/>
    <n v="9473.7980325083299"/>
    <s v="Unknown"/>
    <n v="12"/>
    <n v="9"/>
    <n v="71"/>
    <n v="9"/>
    <s v="Carrier C"/>
    <n v="9.1478115447106294"/>
    <x v="1"/>
    <x v="0"/>
    <n v="10"/>
    <n v="198"/>
    <n v="11"/>
    <n v="7.0578761469782298"/>
    <s v="Pass"/>
    <n v="0.131955444311814"/>
    <x v="3"/>
    <x v="1"/>
    <n v="169.27180138478599"/>
  </r>
  <r>
    <x v="0"/>
    <s v="SKU68"/>
    <n v="37.931812382790298"/>
    <n v="29"/>
    <n v="163"/>
    <n v="3550.21843278099"/>
    <s v="Non-binary"/>
    <n v="0"/>
    <n v="8"/>
    <n v="58"/>
    <n v="8"/>
    <s v="Carrier B"/>
    <n v="1.19425186488499"/>
    <x v="4"/>
    <x v="3"/>
    <n v="2"/>
    <n v="375"/>
    <n v="18"/>
    <n v="97.113581563462205"/>
    <s v="Fail"/>
    <n v="1.9834678721741801"/>
    <x v="2"/>
    <x v="2"/>
    <n v="299.70630311810299"/>
  </r>
  <r>
    <x v="1"/>
    <s v="SKU69"/>
    <n v="54.865528517069698"/>
    <n v="62"/>
    <n v="511"/>
    <n v="1752.3810874841199"/>
    <s v="Non-binary"/>
    <n v="95"/>
    <n v="1"/>
    <n v="27"/>
    <n v="3"/>
    <s v="Carrier B"/>
    <n v="9.7052867901203399"/>
    <x v="3"/>
    <x v="1"/>
    <n v="9"/>
    <n v="862"/>
    <n v="7"/>
    <n v="77.627765812748095"/>
    <s v="Pending"/>
    <n v="1.3623879886490999"/>
    <x v="1"/>
    <x v="2"/>
    <n v="207.66320620857499"/>
  </r>
  <r>
    <x v="0"/>
    <s v="SKU70"/>
    <n v="47.914541824058702"/>
    <n v="90"/>
    <n v="32"/>
    <n v="7014.8879872033804"/>
    <s v="Female"/>
    <n v="10"/>
    <n v="12"/>
    <n v="22"/>
    <n v="4"/>
    <s v="Carrier B"/>
    <n v="6.3157177546007199"/>
    <x v="1"/>
    <x v="3"/>
    <n v="22"/>
    <n v="775"/>
    <n v="16"/>
    <n v="11.440781823761199"/>
    <s v="Pass"/>
    <n v="1.8305755986122301"/>
    <x v="0"/>
    <x v="1"/>
    <n v="183.27289874871099"/>
  </r>
  <r>
    <x v="2"/>
    <s v="SKU71"/>
    <n v="6.3815331627479601"/>
    <n v="14"/>
    <n v="637"/>
    <n v="8180.3370854254399"/>
    <s v="Female"/>
    <n v="76"/>
    <n v="2"/>
    <n v="26"/>
    <n v="6"/>
    <s v="Carrier A"/>
    <n v="9.2281903170525101"/>
    <x v="4"/>
    <x v="3"/>
    <n v="2"/>
    <n v="258"/>
    <n v="10"/>
    <n v="30.661677477859499"/>
    <s v="Pending"/>
    <n v="2.07875060787496"/>
    <x v="0"/>
    <x v="2"/>
    <n v="405.167067888855"/>
  </r>
  <r>
    <x v="2"/>
    <s v="SKU72"/>
    <n v="90.204427520528"/>
    <n v="88"/>
    <n v="478"/>
    <n v="2633.1219813122498"/>
    <s v="Non-binary"/>
    <n v="57"/>
    <n v="29"/>
    <n v="77"/>
    <n v="9"/>
    <s v="Carrier A"/>
    <n v="6.5996141596895397"/>
    <x v="1"/>
    <x v="3"/>
    <n v="21"/>
    <n v="152"/>
    <n v="11"/>
    <n v="55.760492895244198"/>
    <s v="Pending"/>
    <n v="3.2133296074383"/>
    <x v="2"/>
    <x v="0"/>
    <n v="677.94456984618296"/>
  </r>
  <r>
    <x v="2"/>
    <s v="SKU73"/>
    <n v="83.851017681304597"/>
    <n v="41"/>
    <n v="375"/>
    <n v="7910.8869161406801"/>
    <s v="Male"/>
    <n v="17"/>
    <n v="25"/>
    <n v="66"/>
    <n v="5"/>
    <s v="Carrier B"/>
    <n v="1.5129368369160701"/>
    <x v="3"/>
    <x v="4"/>
    <n v="13"/>
    <n v="444"/>
    <n v="4"/>
    <n v="46.870238797617098"/>
    <s v="Fail"/>
    <n v="4.6205460645137002"/>
    <x v="0"/>
    <x v="2"/>
    <n v="866.472800129657"/>
  </r>
  <r>
    <x v="0"/>
    <s v="SKU74"/>
    <n v="3.1700114135661499"/>
    <n v="64"/>
    <n v="904"/>
    <n v="5709.9452959692799"/>
    <s v="Female"/>
    <n v="41"/>
    <n v="6"/>
    <n v="1"/>
    <n v="5"/>
    <s v="Carrier A"/>
    <n v="5.2376546500374399"/>
    <x v="3"/>
    <x v="2"/>
    <n v="1"/>
    <n v="919"/>
    <n v="9"/>
    <n v="80.580852156447804"/>
    <s v="Fail"/>
    <n v="0.39661272410993498"/>
    <x v="2"/>
    <x v="2"/>
    <n v="341.55265678322297"/>
  </r>
  <r>
    <x v="1"/>
    <s v="SKU75"/>
    <n v="92.996884233970604"/>
    <n v="29"/>
    <n v="106"/>
    <n v="1889.07358977933"/>
    <s v="Non-binary"/>
    <n v="16"/>
    <n v="20"/>
    <n v="56"/>
    <n v="10"/>
    <s v="Carrier C"/>
    <n v="2.47389776104546"/>
    <x v="1"/>
    <x v="4"/>
    <n v="25"/>
    <n v="759"/>
    <n v="11"/>
    <n v="48.064782640006499"/>
    <s v="Pass"/>
    <n v="2.0300690886687498"/>
    <x v="1"/>
    <x v="1"/>
    <n v="873.12964801765099"/>
  </r>
  <r>
    <x v="0"/>
    <s v="SKU76"/>
    <n v="69.108799547430294"/>
    <n v="23"/>
    <n v="241"/>
    <n v="5328.3759842977497"/>
    <s v="Male"/>
    <n v="38"/>
    <n v="1"/>
    <n v="22"/>
    <n v="10"/>
    <s v="Carrier A"/>
    <n v="7.0545383368369201"/>
    <x v="4"/>
    <x v="3"/>
    <n v="25"/>
    <n v="985"/>
    <n v="24"/>
    <n v="64.323597795600193"/>
    <s v="Pending"/>
    <n v="2.1800374515822099"/>
    <x v="2"/>
    <x v="2"/>
    <n v="997.41345013319403"/>
  </r>
  <r>
    <x v="0"/>
    <s v="SKU77"/>
    <n v="57.449742958971399"/>
    <n v="14"/>
    <n v="359"/>
    <n v="2483.7601775427902"/>
    <s v="Unknown"/>
    <n v="96"/>
    <n v="28"/>
    <n v="57"/>
    <n v="4"/>
    <s v="Carrier B"/>
    <n v="6.7809466256178901"/>
    <x v="1"/>
    <x v="1"/>
    <n v="26"/>
    <n v="334"/>
    <n v="5"/>
    <n v="42.952444748991802"/>
    <s v="Pass"/>
    <n v="3.0551418183075398"/>
    <x v="0"/>
    <x v="0"/>
    <n v="852.56809891984994"/>
  </r>
  <r>
    <x v="0"/>
    <s v="SKU78"/>
    <n v="6.30688317611191"/>
    <n v="50"/>
    <n v="946"/>
    <n v="1292.45841793775"/>
    <s v="Unknown"/>
    <n v="5"/>
    <n v="4"/>
    <n v="51"/>
    <n v="5"/>
    <s v="Carrier B"/>
    <n v="8.4670497708619905"/>
    <x v="2"/>
    <x v="0"/>
    <n v="25"/>
    <n v="858"/>
    <n v="21"/>
    <n v="71.126514720403307"/>
    <s v="Pending"/>
    <n v="4.0968813324704501"/>
    <x v="3"/>
    <x v="1"/>
    <n v="323.59220343132199"/>
  </r>
  <r>
    <x v="0"/>
    <s v="SKU79"/>
    <n v="57.057031221103202"/>
    <n v="56"/>
    <n v="198"/>
    <n v="7888.7232684270803"/>
    <s v="Non-binary"/>
    <n v="31"/>
    <n v="25"/>
    <n v="20"/>
    <n v="1"/>
    <s v="Carrier B"/>
    <n v="6.49632536429504"/>
    <x v="0"/>
    <x v="3"/>
    <n v="5"/>
    <n v="228"/>
    <n v="12"/>
    <n v="57.870902924036201"/>
    <s v="Pending"/>
    <n v="0.16587162748060799"/>
    <x v="1"/>
    <x v="1"/>
    <n v="351.50421933503799"/>
  </r>
  <r>
    <x v="1"/>
    <s v="SKU80"/>
    <n v="91.128318350444303"/>
    <n v="75"/>
    <n v="872"/>
    <n v="8651.67268298206"/>
    <s v="Unknown"/>
    <n v="39"/>
    <n v="14"/>
    <n v="41"/>
    <n v="2"/>
    <s v="Carrier C"/>
    <n v="2.8331846794189701"/>
    <x v="0"/>
    <x v="4"/>
    <n v="8"/>
    <n v="202"/>
    <n v="5"/>
    <n v="76.961228023819999"/>
    <s v="Fail"/>
    <n v="2.8496621985053299"/>
    <x v="3"/>
    <x v="0"/>
    <n v="787.77985049434403"/>
  </r>
  <r>
    <x v="0"/>
    <s v="SKU81"/>
    <n v="72.819206930318202"/>
    <n v="9"/>
    <n v="774"/>
    <n v="4384.4134000458598"/>
    <s v="Unknown"/>
    <n v="48"/>
    <n v="6"/>
    <n v="8"/>
    <n v="5"/>
    <s v="Carrier B"/>
    <n v="4.0662775015120403"/>
    <x v="0"/>
    <x v="2"/>
    <n v="28"/>
    <n v="698"/>
    <n v="1"/>
    <n v="19.789592941903599"/>
    <s v="Pending"/>
    <n v="2.54754712154871"/>
    <x v="2"/>
    <x v="0"/>
    <n v="276.77833594679799"/>
  </r>
  <r>
    <x v="1"/>
    <s v="SKU82"/>
    <n v="17.034930739467899"/>
    <n v="13"/>
    <n v="336"/>
    <n v="2943.3818676094502"/>
    <s v="Unknown"/>
    <n v="42"/>
    <n v="19"/>
    <n v="72"/>
    <n v="1"/>
    <s v="Carrier A"/>
    <n v="4.7081818735419301"/>
    <x v="4"/>
    <x v="0"/>
    <n v="6"/>
    <n v="955"/>
    <n v="26"/>
    <n v="4.4652784349432402"/>
    <s v="Pending"/>
    <n v="4.1378770486223502"/>
    <x v="0"/>
    <x v="1"/>
    <n v="589.97855562804"/>
  </r>
  <r>
    <x v="0"/>
    <s v="SKU83"/>
    <n v="68.911246211606297"/>
    <n v="82"/>
    <n v="663"/>
    <n v="2411.7546321104901"/>
    <s v="Unknown"/>
    <n v="65"/>
    <n v="24"/>
    <n v="7"/>
    <n v="8"/>
    <s v="Carrier B"/>
    <n v="4.94983957799694"/>
    <x v="1"/>
    <x v="3"/>
    <n v="20"/>
    <n v="443"/>
    <n v="5"/>
    <n v="97.730593800533001"/>
    <s v="Fail"/>
    <n v="0.77300613406724705"/>
    <x v="0"/>
    <x v="2"/>
    <n v="682.97101822609295"/>
  </r>
  <r>
    <x v="0"/>
    <s v="SKU84"/>
    <n v="89.104367292102197"/>
    <n v="99"/>
    <n v="618"/>
    <n v="2048.2900998487098"/>
    <s v="Unknown"/>
    <n v="73"/>
    <n v="26"/>
    <n v="80"/>
    <n v="10"/>
    <s v="Carrier A"/>
    <n v="8.3816156249226292"/>
    <x v="2"/>
    <x v="4"/>
    <n v="24"/>
    <n v="589"/>
    <n v="22"/>
    <n v="33.808636513209002"/>
    <s v="Pass"/>
    <n v="4.8434565771180402"/>
    <x v="1"/>
    <x v="0"/>
    <n v="465.45700596368698"/>
  </r>
  <r>
    <x v="2"/>
    <s v="SKU85"/>
    <n v="76.962994415193805"/>
    <n v="83"/>
    <n v="25"/>
    <n v="8684.6130592538502"/>
    <s v="Female"/>
    <n v="15"/>
    <n v="18"/>
    <n v="66"/>
    <n v="2"/>
    <s v="Carrier C"/>
    <n v="8.2491687048717193"/>
    <x v="2"/>
    <x v="4"/>
    <n v="4"/>
    <n v="211"/>
    <n v="2"/>
    <n v="69.929345518672307"/>
    <s v="Fail"/>
    <n v="1.3744289997457499"/>
    <x v="0"/>
    <x v="0"/>
    <n v="842.68683000464102"/>
  </r>
  <r>
    <x v="1"/>
    <s v="SKU86"/>
    <n v="19.9981769404042"/>
    <n v="18"/>
    <n v="223"/>
    <n v="1229.59102856498"/>
    <s v="Unknown"/>
    <n v="32"/>
    <n v="14"/>
    <n v="22"/>
    <n v="6"/>
    <s v="Carrier B"/>
    <n v="1.4543053101535499"/>
    <x v="1"/>
    <x v="0"/>
    <n v="4"/>
    <n v="569"/>
    <n v="18"/>
    <n v="74.608969995194599"/>
    <s v="Pass"/>
    <n v="2.0515129307662399"/>
    <x v="2"/>
    <x v="2"/>
    <n v="264.25488983586598"/>
  </r>
  <r>
    <x v="0"/>
    <s v="SKU87"/>
    <n v="80.414036650355698"/>
    <n v="24"/>
    <n v="79"/>
    <n v="5133.8467010866898"/>
    <s v="Male"/>
    <n v="5"/>
    <n v="7"/>
    <n v="55"/>
    <n v="10"/>
    <s v="Carrier A"/>
    <n v="6.5758037975485299"/>
    <x v="0"/>
    <x v="4"/>
    <n v="27"/>
    <n v="523"/>
    <n v="17"/>
    <n v="28.696996824143099"/>
    <s v="Fail"/>
    <n v="3.6937377878392699"/>
    <x v="3"/>
    <x v="0"/>
    <n v="879.35921773492396"/>
  </r>
  <r>
    <x v="2"/>
    <s v="SKU88"/>
    <n v="75.270406975724995"/>
    <n v="58"/>
    <n v="737"/>
    <n v="9444.7420330629793"/>
    <s v="Male"/>
    <n v="60"/>
    <n v="18"/>
    <n v="85"/>
    <n v="7"/>
    <s v="Carrier A"/>
    <n v="3.8012531329310701"/>
    <x v="4"/>
    <x v="0"/>
    <n v="21"/>
    <n v="953"/>
    <n v="11"/>
    <n v="68.1849190570411"/>
    <s v="Pending"/>
    <n v="0.722204401882931"/>
    <x v="3"/>
    <x v="2"/>
    <n v="103.916247960704"/>
  </r>
  <r>
    <x v="2"/>
    <s v="SKU89"/>
    <n v="97.760085581938597"/>
    <n v="10"/>
    <n v="134"/>
    <n v="5924.6825668532301"/>
    <s v="Unknown"/>
    <n v="90"/>
    <n v="1"/>
    <n v="27"/>
    <n v="8"/>
    <s v="Carrier B"/>
    <n v="9.9298162452772498"/>
    <x v="1"/>
    <x v="1"/>
    <n v="23"/>
    <n v="370"/>
    <n v="11"/>
    <n v="46.603873381644398"/>
    <s v="Pending"/>
    <n v="1.9076657339590699"/>
    <x v="2"/>
    <x v="0"/>
    <n v="517.49997392906005"/>
  </r>
  <r>
    <x v="1"/>
    <s v="SKU90"/>
    <n v="13.881913501359101"/>
    <n v="56"/>
    <n v="320"/>
    <n v="9592.6335702803099"/>
    <s v="Non-binary"/>
    <n v="66"/>
    <n v="18"/>
    <n v="96"/>
    <n v="7"/>
    <s v="Carrier B"/>
    <n v="7.6744307081126903"/>
    <x v="0"/>
    <x v="3"/>
    <n v="8"/>
    <n v="585"/>
    <n v="8"/>
    <n v="85.675963335797903"/>
    <s v="Pass"/>
    <n v="1.2193822244013801"/>
    <x v="2"/>
    <x v="0"/>
    <n v="990.07847250581096"/>
  </r>
  <r>
    <x v="2"/>
    <s v="SKU91"/>
    <n v="62.111965463961702"/>
    <n v="90"/>
    <n v="916"/>
    <n v="1935.20679350759"/>
    <s v="Male"/>
    <n v="98"/>
    <n v="22"/>
    <n v="85"/>
    <n v="7"/>
    <s v="Carrier B"/>
    <n v="7.4715140844011403"/>
    <x v="3"/>
    <x v="2"/>
    <n v="5"/>
    <n v="207"/>
    <n v="28"/>
    <n v="39.772882502339897"/>
    <s v="Pending"/>
    <n v="0.62600185820939402"/>
    <x v="2"/>
    <x v="0"/>
    <n v="996.77831495062298"/>
  </r>
  <r>
    <x v="2"/>
    <s v="SKU92"/>
    <n v="47.714233075820196"/>
    <n v="44"/>
    <n v="276"/>
    <n v="2100.1297546259302"/>
    <s v="Male"/>
    <n v="90"/>
    <n v="25"/>
    <n v="10"/>
    <n v="8"/>
    <s v="Carrier B"/>
    <n v="4.4695000261236002"/>
    <x v="4"/>
    <x v="0"/>
    <n v="4"/>
    <n v="671"/>
    <n v="29"/>
    <n v="62.612690395614301"/>
    <s v="Pass"/>
    <n v="0.33343182522473902"/>
    <x v="2"/>
    <x v="0"/>
    <n v="230.092782536762"/>
  </r>
  <r>
    <x v="0"/>
    <s v="SKU93"/>
    <n v="69.290831002905406"/>
    <n v="88"/>
    <n v="114"/>
    <n v="4531.4021336919004"/>
    <s v="Unknown"/>
    <n v="63"/>
    <n v="17"/>
    <n v="66"/>
    <n v="1"/>
    <s v="Carrier C"/>
    <n v="7.00643205900439"/>
    <x v="3"/>
    <x v="4"/>
    <n v="21"/>
    <n v="824"/>
    <n v="20"/>
    <n v="35.633652343343797"/>
    <s v="Fail"/>
    <n v="4.1657817954241398"/>
    <x v="1"/>
    <x v="2"/>
    <n v="823.52384588815505"/>
  </r>
  <r>
    <x v="2"/>
    <s v="SKU94"/>
    <n v="3.0376887246314102"/>
    <n v="97"/>
    <n v="987"/>
    <n v="7888.3565466618702"/>
    <s v="Unknown"/>
    <n v="77"/>
    <n v="26"/>
    <n v="72"/>
    <n v="9"/>
    <s v="Carrier B"/>
    <n v="6.9429459420325799"/>
    <x v="4"/>
    <x v="2"/>
    <n v="12"/>
    <n v="908"/>
    <n v="14"/>
    <n v="60.387378614862101"/>
    <s v="Pass"/>
    <n v="1.4636074984727701"/>
    <x v="2"/>
    <x v="0"/>
    <n v="846.66525698669398"/>
  </r>
  <r>
    <x v="0"/>
    <s v="SKU95"/>
    <n v="77.903927219447695"/>
    <n v="65"/>
    <n v="672"/>
    <n v="7386.3639440486604"/>
    <s v="Unknown"/>
    <n v="15"/>
    <n v="14"/>
    <n v="26"/>
    <n v="9"/>
    <s v="Carrier B"/>
    <n v="8.6303388696027508"/>
    <x v="3"/>
    <x v="0"/>
    <n v="18"/>
    <n v="450"/>
    <n v="26"/>
    <n v="58.890685768589897"/>
    <s v="Pending"/>
    <n v="1.21088212958506"/>
    <x v="1"/>
    <x v="2"/>
    <n v="778.86424137664699"/>
  </r>
  <r>
    <x v="2"/>
    <s v="SKU96"/>
    <n v="24.423131420373299"/>
    <n v="29"/>
    <n v="324"/>
    <n v="7698.4247656321104"/>
    <s v="Non-binary"/>
    <n v="67"/>
    <n v="2"/>
    <n v="32"/>
    <n v="3"/>
    <s v="Carrier C"/>
    <n v="5.3528780439967996"/>
    <x v="0"/>
    <x v="0"/>
    <n v="28"/>
    <n v="648"/>
    <n v="28"/>
    <n v="17.803756331391199"/>
    <s v="Pending"/>
    <n v="3.8720476814821301"/>
    <x v="0"/>
    <x v="2"/>
    <n v="188.74214114905601"/>
  </r>
  <r>
    <x v="0"/>
    <s v="SKU97"/>
    <n v="3.5261112591434101"/>
    <n v="56"/>
    <n v="62"/>
    <n v="4370.9165799845296"/>
    <s v="Male"/>
    <n v="46"/>
    <n v="19"/>
    <n v="4"/>
    <n v="9"/>
    <s v="Carrier A"/>
    <n v="7.9048456112096703"/>
    <x v="3"/>
    <x v="0"/>
    <n v="10"/>
    <n v="535"/>
    <n v="13"/>
    <n v="65.765155926367399"/>
    <s v="Fail"/>
    <n v="3.3762378347179798"/>
    <x v="0"/>
    <x v="2"/>
    <n v="540.13242286796697"/>
  </r>
  <r>
    <x v="1"/>
    <s v="SKU98"/>
    <n v="19.754604866878601"/>
    <n v="43"/>
    <n v="913"/>
    <n v="8525.9525596835192"/>
    <s v="Female"/>
    <n v="53"/>
    <n v="1"/>
    <n v="27"/>
    <n v="7"/>
    <s v="Carrier B"/>
    <n v="1.4098010951380699"/>
    <x v="2"/>
    <x v="4"/>
    <n v="28"/>
    <n v="581"/>
    <n v="9"/>
    <n v="5.6046908643717801"/>
    <s v="Pending"/>
    <n v="2.9081221693512598"/>
    <x v="2"/>
    <x v="2"/>
    <n v="882.19886354704101"/>
  </r>
  <r>
    <x v="0"/>
    <s v="SKU99"/>
    <n v="68.517832699276596"/>
    <n v="17"/>
    <n v="627"/>
    <n v="9185.1858291817007"/>
    <s v="Unknown"/>
    <n v="55"/>
    <n v="8"/>
    <n v="59"/>
    <n v="6"/>
    <s v="Carrier B"/>
    <n v="1.3110237561206199"/>
    <x v="4"/>
    <x v="4"/>
    <n v="29"/>
    <n v="921"/>
    <n v="2"/>
    <n v="38.072898520625998"/>
    <s v="Fail"/>
    <n v="0.34602729070550298"/>
    <x v="2"/>
    <x v="0"/>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106D63-963B-412B-A7E3-F88752DA916A}" name="PivotTable9"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H12:I16"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axis="axisRow" showAll="0">
      <items count="4">
        <item x="2"/>
        <item x="0"/>
        <item x="1"/>
        <item t="default"/>
      </items>
    </pivotField>
    <pivotField dataField="1" showAll="0"/>
  </pivotFields>
  <rowFields count="1">
    <field x="22"/>
  </rowFields>
  <rowItems count="4">
    <i>
      <x/>
    </i>
    <i>
      <x v="1"/>
    </i>
    <i>
      <x v="2"/>
    </i>
    <i t="grand">
      <x/>
    </i>
  </rowItems>
  <colItems count="1">
    <i/>
  </colItems>
  <dataFields count="1">
    <dataField name="Average of Costs" fld="23" subtotal="average" baseField="22" baseItem="0" numFmtId="2"/>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CFCB72-1C6D-43CE-80DC-6A508DCD9BAB}"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8"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13" baseItem="0" numFmtId="2"/>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5A24BE-404D-40CF-93CA-B117E3B17E9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5"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1"/>
        <item x="4"/>
        <item x="0"/>
        <item x="3"/>
        <item x="2"/>
        <item t="default"/>
      </items>
    </pivotField>
    <pivotField axis="axisRow" showAll="0">
      <items count="6">
        <item x="3"/>
        <item x="4"/>
        <item x="2"/>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s>
  <rowFields count="1">
    <field x="14"/>
  </rowFields>
  <rowItems count="6">
    <i>
      <x/>
    </i>
    <i>
      <x v="1"/>
    </i>
    <i>
      <x v="2"/>
    </i>
    <i>
      <x v="3"/>
    </i>
    <i>
      <x v="4"/>
    </i>
    <i t="grand">
      <x/>
    </i>
  </rowItems>
  <colItems count="1">
    <i/>
  </colItems>
  <dataFields count="1">
    <dataField name="Average of Lead times" fld="8" subtotal="average" baseField="14" baseItem="0" numFmtId="2"/>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2BEAC5-E112-4CAA-9D47-353D614A4D2E}" name="PivotTable4"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2:I7" firstHeaderRow="1" firstDataRow="1" firstDataCol="1"/>
  <pivotFields count="24">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s>
  <rowFields count="1">
    <field x="21"/>
  </rowFields>
  <rowItems count="5">
    <i>
      <x/>
    </i>
    <i>
      <x v="1"/>
    </i>
    <i>
      <x v="2"/>
    </i>
    <i>
      <x v="3"/>
    </i>
    <i t="grand">
      <x/>
    </i>
  </rowItems>
  <colItems count="1">
    <i/>
  </colItems>
  <dataFields count="1">
    <dataField name="Count of SKU" fld="1" subtotal="count" showDataAs="percentOfTotal" baseField="21" baseItem="0" numFmtId="1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1" count="1" selected="0">
            <x v="0"/>
          </reference>
        </references>
      </pivotArea>
    </chartFormat>
    <chartFormat chart="2" format="8">
      <pivotArea type="data" outline="0" fieldPosition="0">
        <references count="2">
          <reference field="4294967294" count="1" selected="0">
            <x v="0"/>
          </reference>
          <reference field="21" count="1" selected="0">
            <x v="1"/>
          </reference>
        </references>
      </pivotArea>
    </chartFormat>
    <chartFormat chart="2" format="9">
      <pivotArea type="data" outline="0" fieldPosition="0">
        <references count="2">
          <reference field="4294967294" count="1" selected="0">
            <x v="0"/>
          </reference>
          <reference field="21" count="1" selected="0">
            <x v="2"/>
          </reference>
        </references>
      </pivotArea>
    </chartFormat>
    <chartFormat chart="2"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DA6EE-5947-498E-AA98-81441CDC7AAC}"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2:E8" firstHeaderRow="1" firstDataRow="1" firstDataCol="1"/>
  <pivotFields count="24">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Shipping costs" fld="12" subtotal="average" baseField="13" baseItem="0"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778A0E-6B7B-4D41-BB6B-194C896FA75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 firstHeaderRow="1" firstDataRow="1" firstDataCol="1"/>
  <pivotFields count="24">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Order quantiti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2D63700-6F29-4926-8B4C-794F33E6ADDC}" sourceName="Product type">
  <pivotTables>
    <pivotTable tabId="3" name="PivotTable5"/>
  </pivotTables>
  <data>
    <tabular pivotCacheId="13030639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B9054685-2441-4F56-879E-1F6F67A0F020}" sourceName="Supplier name">
  <pivotTables>
    <pivotTable tabId="3" name="PivotTable5"/>
  </pivotTables>
  <data>
    <tabular pivotCacheId="1303063951">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D99A3E-0521-4588-9C48-99E79690F23D}" sourceName="Location">
  <pivotTables>
    <pivotTable tabId="3" name="PivotTable5"/>
  </pivotTables>
  <data>
    <tabular pivotCacheId="1303063951">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A07B3155-F792-41EB-8884-93CF986D26D7}" sourceName="Transportation modes">
  <pivotTables>
    <pivotTable tabId="3" name="PivotTable5"/>
  </pivotTables>
  <data>
    <tabular pivotCacheId="130306395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D22C27D8-2434-40F1-A4FB-CE52B16CC62F}" cache="Slicer_Product_type" caption="Product type" rowHeight="144000"/>
  <slicer name="Supplier name" xr10:uid="{FCB4F397-03BF-49BE-8142-0D427CBEDA22}" cache="Slicer_Supplier_name" caption="Supplier name" rowHeight="126000"/>
  <slicer name="Location" xr10:uid="{3681702F-6945-4167-B0B9-7CFEDEA0D234}" cache="Slicer_Location" caption="Location" rowHeight="144000"/>
  <slicer name="Transportation modes" xr10:uid="{29D4CCE1-9E4B-49DE-8614-633AC4CCFA8E}" cache="Slicer_Transportation_modes" caption="Transportation modes"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27CB03-C434-41E9-96AC-557C1AB40E2C}" name="Table1" displayName="Table1" ref="A1:X101" totalsRowShown="0">
  <autoFilter ref="A1:X101" xr:uid="{AD27CB03-C434-41E9-96AC-557C1AB40E2C}"/>
  <tableColumns count="24">
    <tableColumn id="1" xr3:uid="{9F053DE2-A48F-487A-B019-436EBD5C7C62}" name="Product type"/>
    <tableColumn id="2" xr3:uid="{3C16F086-9BCA-48BB-AAED-7300353E0585}" name="SKU"/>
    <tableColumn id="3" xr3:uid="{D8555263-E35C-4C83-A776-F283452CBE47}" name="Price"/>
    <tableColumn id="4" xr3:uid="{2892503D-547D-4774-8C6E-38A77DF6CA6E}" name="Availability"/>
    <tableColumn id="5" xr3:uid="{0D20EE9F-31E9-4955-951D-87D4619329C2}" name="Number of products sold"/>
    <tableColumn id="6" xr3:uid="{ECC43910-54C4-40A0-A94E-6C7E92532CD0}" name="Revenue generated"/>
    <tableColumn id="7" xr3:uid="{92991883-6DB8-4490-81C4-BC6786F700FA}" name="Customer demographics"/>
    <tableColumn id="8" xr3:uid="{0E85D2D0-4AE8-4EED-97E5-12FCEAF361B6}" name="Stock levels"/>
    <tableColumn id="9" xr3:uid="{50B6C4F7-198D-4683-93D6-BE073814A9CB}" name="Lead times"/>
    <tableColumn id="10" xr3:uid="{37920B95-F351-45A8-9924-C9FB79DD4798}" name="Order quantities"/>
    <tableColumn id="11" xr3:uid="{79F99CA4-E642-489E-A96F-59730C722A31}" name="Shipping times"/>
    <tableColumn id="12" xr3:uid="{4DBE9FBB-0B7B-4440-BE3D-0F575C61BA46}" name="Shipping carriers"/>
    <tableColumn id="13" xr3:uid="{EAE33247-9DEE-48B5-835A-0318A250DD12}" name="Shipping costs"/>
    <tableColumn id="14" xr3:uid="{E8DAEF3B-26C8-4141-8C98-DC7DC3A8A6F8}" name="Supplier name"/>
    <tableColumn id="15" xr3:uid="{BAEAEEFB-C801-4FF9-A7EF-C319709D2609}" name="Location"/>
    <tableColumn id="16" xr3:uid="{6454C540-AF5C-4B03-A458-B02080B12E44}" name="Lead time"/>
    <tableColumn id="17" xr3:uid="{D6306A74-A30E-49D8-864B-AA58F33F9ED5}" name="Production volumes"/>
    <tableColumn id="18" xr3:uid="{5D5ACC2C-3290-483A-9079-A1B040A60AE5}" name="Manufacturing lead time"/>
    <tableColumn id="19" xr3:uid="{A0C052C1-C0F9-4693-888A-454E1B445348}" name="Manufacturing costs"/>
    <tableColumn id="20" xr3:uid="{2D9E6838-4A30-441D-89EA-5DA79E76BAF2}" name="Inspection results"/>
    <tableColumn id="21" xr3:uid="{62E9A587-B79B-4B92-83A1-493ACE900AC9}" name="Defect rates"/>
    <tableColumn id="22" xr3:uid="{070B0991-863E-4BBE-9E06-4823ED87BAEC}" name="Transportation modes"/>
    <tableColumn id="23" xr3:uid="{DBD7DF0D-247E-4A21-8B55-D27F18C59D7F}" name="Routes"/>
    <tableColumn id="24" xr3:uid="{40C58C40-3B28-4737-B726-ED4C4AFAA199}"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F8D6E-9FB6-4A49-A48E-03E4A9CA923F}">
  <dimension ref="A1:X101"/>
  <sheetViews>
    <sheetView workbookViewId="0">
      <selection activeCell="F14" sqref="F14"/>
    </sheetView>
  </sheetViews>
  <sheetFormatPr defaultRowHeight="14.4" x14ac:dyDescent="0.3"/>
  <cols>
    <col min="1" max="1" width="13.77734375" customWidth="1"/>
    <col min="4" max="4" width="12.109375" customWidth="1"/>
    <col min="5" max="5" width="23.77734375" customWidth="1"/>
    <col min="6" max="6" width="19.21875"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0187-FE2D-45D0-A8CA-DDB906B3E19B}">
  <dimension ref="A1:N101"/>
  <sheetViews>
    <sheetView workbookViewId="0">
      <selection activeCell="O10" sqref="O10"/>
    </sheetView>
  </sheetViews>
  <sheetFormatPr defaultRowHeight="14.4" x14ac:dyDescent="0.3"/>
  <cols>
    <col min="12" max="12" width="13.88671875" customWidth="1"/>
    <col min="13" max="13" width="13.109375" customWidth="1"/>
    <col min="14" max="14" width="13.77734375" customWidth="1"/>
  </cols>
  <sheetData>
    <row r="1" spans="1:14" x14ac:dyDescent="0.3">
      <c r="A1" t="s">
        <v>1</v>
      </c>
      <c r="B1" t="s">
        <v>3</v>
      </c>
      <c r="C1" t="s">
        <v>7</v>
      </c>
      <c r="D1" t="s">
        <v>9</v>
      </c>
      <c r="E1" t="s">
        <v>10</v>
      </c>
      <c r="F1" t="s">
        <v>13</v>
      </c>
      <c r="G1" t="s">
        <v>15</v>
      </c>
      <c r="H1" t="s">
        <v>19</v>
      </c>
      <c r="I1" t="s">
        <v>21</v>
      </c>
      <c r="J1" t="s">
        <v>22</v>
      </c>
      <c r="K1" t="s">
        <v>154</v>
      </c>
      <c r="L1" t="s">
        <v>155</v>
      </c>
      <c r="M1" t="s">
        <v>156</v>
      </c>
      <c r="N1" t="s">
        <v>157</v>
      </c>
    </row>
    <row r="2" spans="1:14" x14ac:dyDescent="0.3">
      <c r="A2" t="s">
        <v>25</v>
      </c>
      <c r="B2">
        <v>55</v>
      </c>
      <c r="C2">
        <v>58</v>
      </c>
      <c r="D2">
        <v>96</v>
      </c>
      <c r="E2">
        <v>4</v>
      </c>
      <c r="F2" t="s">
        <v>28</v>
      </c>
      <c r="G2">
        <v>29</v>
      </c>
      <c r="H2" t="s">
        <v>30</v>
      </c>
      <c r="I2" t="s">
        <v>31</v>
      </c>
      <c r="J2" t="s">
        <v>32</v>
      </c>
      <c r="K2" t="str">
        <f>IF(H2&lt;10,"Delayed","On Track")</f>
        <v>On Track</v>
      </c>
      <c r="L2" t="str">
        <f>IF(E2&lt;20,"High",IF(E2&lt;50,"Medium","Low"))</f>
        <v>High</v>
      </c>
      <c r="M2" t="str">
        <f>IF(G2&gt;6,"Delayed",IF(G2&gt;3,"Moderate","Fast"))</f>
        <v>Delayed</v>
      </c>
      <c r="N2" t="str">
        <f>IF(I2="Fail","Attention Needed","Approved")</f>
        <v>Approved</v>
      </c>
    </row>
    <row r="3" spans="1:14" x14ac:dyDescent="0.3">
      <c r="A3" t="s">
        <v>34</v>
      </c>
      <c r="B3">
        <v>95</v>
      </c>
      <c r="C3">
        <v>53</v>
      </c>
      <c r="D3">
        <v>37</v>
      </c>
      <c r="E3">
        <v>2</v>
      </c>
      <c r="F3" t="s">
        <v>28</v>
      </c>
      <c r="G3">
        <v>23</v>
      </c>
      <c r="H3" t="s">
        <v>30</v>
      </c>
      <c r="I3" t="s">
        <v>31</v>
      </c>
      <c r="J3" t="s">
        <v>32</v>
      </c>
      <c r="K3" t="str">
        <f t="shared" ref="K3:K66" si="0">IF(H3&lt;10,"Delayed","On Track")</f>
        <v>On Track</v>
      </c>
      <c r="L3" t="str">
        <f t="shared" ref="L3:L66" si="1">IF(E3&lt;20,"High",IF(E3&lt;50,"Medium","Low"))</f>
        <v>High</v>
      </c>
      <c r="M3" t="str">
        <f t="shared" ref="M3:M66" si="2">IF(G3&gt;6,"Delayed",IF(G3&gt;3,"Moderate","Fast"))</f>
        <v>Delayed</v>
      </c>
      <c r="N3" t="str">
        <f t="shared" ref="N3:N66" si="3">IF(I3="Fail","Attention Needed","Approved")</f>
        <v>Approved</v>
      </c>
    </row>
    <row r="4" spans="1:14" x14ac:dyDescent="0.3">
      <c r="A4" t="s">
        <v>37</v>
      </c>
      <c r="B4">
        <v>34</v>
      </c>
      <c r="C4">
        <v>1</v>
      </c>
      <c r="D4">
        <v>88</v>
      </c>
      <c r="E4">
        <v>2</v>
      </c>
      <c r="F4" t="s">
        <v>39</v>
      </c>
      <c r="G4">
        <v>12</v>
      </c>
      <c r="H4" t="s">
        <v>30</v>
      </c>
      <c r="I4" t="s">
        <v>40</v>
      </c>
      <c r="J4" t="s">
        <v>41</v>
      </c>
      <c r="K4" t="str">
        <f t="shared" si="0"/>
        <v>On Track</v>
      </c>
      <c r="L4" t="str">
        <f t="shared" si="1"/>
        <v>High</v>
      </c>
      <c r="M4" t="str">
        <f t="shared" si="2"/>
        <v>Delayed</v>
      </c>
      <c r="N4" t="str">
        <f t="shared" si="3"/>
        <v>Approved</v>
      </c>
    </row>
    <row r="5" spans="1:14" x14ac:dyDescent="0.3">
      <c r="A5" t="s">
        <v>42</v>
      </c>
      <c r="B5">
        <v>68</v>
      </c>
      <c r="C5">
        <v>23</v>
      </c>
      <c r="D5">
        <v>59</v>
      </c>
      <c r="E5">
        <v>6</v>
      </c>
      <c r="F5" t="s">
        <v>44</v>
      </c>
      <c r="G5">
        <v>24</v>
      </c>
      <c r="H5" t="s">
        <v>46</v>
      </c>
      <c r="I5" t="s">
        <v>47</v>
      </c>
      <c r="J5" t="s">
        <v>48</v>
      </c>
      <c r="K5" t="str">
        <f t="shared" si="0"/>
        <v>On Track</v>
      </c>
      <c r="L5" t="str">
        <f t="shared" si="1"/>
        <v>High</v>
      </c>
      <c r="M5" t="str">
        <f t="shared" si="2"/>
        <v>Delayed</v>
      </c>
      <c r="N5" t="str">
        <f t="shared" si="3"/>
        <v>Approved</v>
      </c>
    </row>
    <row r="6" spans="1:14" x14ac:dyDescent="0.3">
      <c r="A6" t="s">
        <v>49</v>
      </c>
      <c r="B6">
        <v>26</v>
      </c>
      <c r="C6">
        <v>5</v>
      </c>
      <c r="D6">
        <v>56</v>
      </c>
      <c r="E6">
        <v>8</v>
      </c>
      <c r="F6" t="s">
        <v>39</v>
      </c>
      <c r="G6">
        <v>5</v>
      </c>
      <c r="H6" t="s">
        <v>46</v>
      </c>
      <c r="I6" t="s">
        <v>40</v>
      </c>
      <c r="J6" t="s">
        <v>48</v>
      </c>
      <c r="K6" t="str">
        <f t="shared" si="0"/>
        <v>On Track</v>
      </c>
      <c r="L6" t="str">
        <f t="shared" si="1"/>
        <v>High</v>
      </c>
      <c r="M6" t="str">
        <f t="shared" si="2"/>
        <v>Moderate</v>
      </c>
      <c r="N6" t="str">
        <f t="shared" si="3"/>
        <v>Approved</v>
      </c>
    </row>
    <row r="7" spans="1:14" x14ac:dyDescent="0.3">
      <c r="A7" t="s">
        <v>51</v>
      </c>
      <c r="B7">
        <v>87</v>
      </c>
      <c r="C7">
        <v>90</v>
      </c>
      <c r="D7">
        <v>66</v>
      </c>
      <c r="E7">
        <v>3</v>
      </c>
      <c r="F7" t="s">
        <v>52</v>
      </c>
      <c r="G7">
        <v>10</v>
      </c>
      <c r="H7" t="s">
        <v>46</v>
      </c>
      <c r="I7" t="s">
        <v>31</v>
      </c>
      <c r="J7" t="s">
        <v>48</v>
      </c>
      <c r="K7" t="str">
        <f t="shared" si="0"/>
        <v>On Track</v>
      </c>
      <c r="L7" t="str">
        <f t="shared" si="1"/>
        <v>High</v>
      </c>
      <c r="M7" t="str">
        <f t="shared" si="2"/>
        <v>Delayed</v>
      </c>
      <c r="N7" t="str">
        <f t="shared" si="3"/>
        <v>Approved</v>
      </c>
    </row>
    <row r="8" spans="1:14" x14ac:dyDescent="0.3">
      <c r="A8" t="s">
        <v>54</v>
      </c>
      <c r="B8">
        <v>48</v>
      </c>
      <c r="C8">
        <v>11</v>
      </c>
      <c r="D8">
        <v>58</v>
      </c>
      <c r="E8">
        <v>8</v>
      </c>
      <c r="F8" t="s">
        <v>28</v>
      </c>
      <c r="G8">
        <v>14</v>
      </c>
      <c r="H8" t="s">
        <v>30</v>
      </c>
      <c r="I8" t="s">
        <v>56</v>
      </c>
      <c r="J8" t="s">
        <v>48</v>
      </c>
      <c r="K8" t="str">
        <f t="shared" si="0"/>
        <v>On Track</v>
      </c>
      <c r="L8" t="str">
        <f t="shared" si="1"/>
        <v>High</v>
      </c>
      <c r="M8" t="str">
        <f t="shared" si="2"/>
        <v>Delayed</v>
      </c>
      <c r="N8" t="str">
        <f t="shared" si="3"/>
        <v>Approved</v>
      </c>
    </row>
    <row r="9" spans="1:14" x14ac:dyDescent="0.3">
      <c r="A9" t="s">
        <v>58</v>
      </c>
      <c r="B9">
        <v>59</v>
      </c>
      <c r="C9">
        <v>93</v>
      </c>
      <c r="D9">
        <v>11</v>
      </c>
      <c r="E9">
        <v>1</v>
      </c>
      <c r="F9" t="s">
        <v>52</v>
      </c>
      <c r="G9">
        <v>22</v>
      </c>
      <c r="H9" t="s">
        <v>46</v>
      </c>
      <c r="I9" t="s">
        <v>31</v>
      </c>
      <c r="J9" t="s">
        <v>41</v>
      </c>
      <c r="K9" t="str">
        <f t="shared" si="0"/>
        <v>On Track</v>
      </c>
      <c r="L9" t="str">
        <f t="shared" si="1"/>
        <v>High</v>
      </c>
      <c r="M9" t="str">
        <f t="shared" si="2"/>
        <v>Delayed</v>
      </c>
      <c r="N9" t="str">
        <f t="shared" si="3"/>
        <v>Approved</v>
      </c>
    </row>
    <row r="10" spans="1:14" x14ac:dyDescent="0.3">
      <c r="A10" t="s">
        <v>59</v>
      </c>
      <c r="B10">
        <v>78</v>
      </c>
      <c r="C10">
        <v>5</v>
      </c>
      <c r="D10">
        <v>15</v>
      </c>
      <c r="E10">
        <v>7</v>
      </c>
      <c r="F10" t="s">
        <v>52</v>
      </c>
      <c r="G10">
        <v>13</v>
      </c>
      <c r="H10" t="s">
        <v>30</v>
      </c>
      <c r="I10" t="s">
        <v>56</v>
      </c>
      <c r="J10" t="s">
        <v>32</v>
      </c>
      <c r="K10" t="str">
        <f t="shared" si="0"/>
        <v>On Track</v>
      </c>
      <c r="L10" t="str">
        <f t="shared" si="1"/>
        <v>High</v>
      </c>
      <c r="M10" t="str">
        <f t="shared" si="2"/>
        <v>Delayed</v>
      </c>
      <c r="N10" t="str">
        <f t="shared" si="3"/>
        <v>Approved</v>
      </c>
    </row>
    <row r="11" spans="1:14" x14ac:dyDescent="0.3">
      <c r="A11" t="s">
        <v>60</v>
      </c>
      <c r="B11">
        <v>35</v>
      </c>
      <c r="C11">
        <v>14</v>
      </c>
      <c r="D11">
        <v>83</v>
      </c>
      <c r="E11">
        <v>1</v>
      </c>
      <c r="F11" t="s">
        <v>61</v>
      </c>
      <c r="G11">
        <v>29</v>
      </c>
      <c r="H11" t="s">
        <v>30</v>
      </c>
      <c r="I11" t="s">
        <v>47</v>
      </c>
      <c r="J11" t="s">
        <v>32</v>
      </c>
      <c r="K11" t="str">
        <f t="shared" si="0"/>
        <v>On Track</v>
      </c>
      <c r="L11" t="str">
        <f t="shared" si="1"/>
        <v>High</v>
      </c>
      <c r="M11" t="str">
        <f t="shared" si="2"/>
        <v>Delayed</v>
      </c>
      <c r="N11" t="str">
        <f t="shared" si="3"/>
        <v>Approved</v>
      </c>
    </row>
    <row r="12" spans="1:14" x14ac:dyDescent="0.3">
      <c r="A12" t="s">
        <v>63</v>
      </c>
      <c r="B12">
        <v>11</v>
      </c>
      <c r="C12">
        <v>51</v>
      </c>
      <c r="D12">
        <v>80</v>
      </c>
      <c r="E12">
        <v>2</v>
      </c>
      <c r="F12" t="s">
        <v>44</v>
      </c>
      <c r="G12">
        <v>18</v>
      </c>
      <c r="H12" t="s">
        <v>64</v>
      </c>
      <c r="I12" t="s">
        <v>31</v>
      </c>
      <c r="J12" t="s">
        <v>32</v>
      </c>
      <c r="K12" t="str">
        <f t="shared" si="0"/>
        <v>On Track</v>
      </c>
      <c r="L12" t="str">
        <f t="shared" si="1"/>
        <v>High</v>
      </c>
      <c r="M12" t="str">
        <f t="shared" si="2"/>
        <v>Delayed</v>
      </c>
      <c r="N12" t="str">
        <f t="shared" si="3"/>
        <v>Approved</v>
      </c>
    </row>
    <row r="13" spans="1:14" x14ac:dyDescent="0.3">
      <c r="A13" t="s">
        <v>65</v>
      </c>
      <c r="B13">
        <v>95</v>
      </c>
      <c r="C13">
        <v>46</v>
      </c>
      <c r="D13">
        <v>60</v>
      </c>
      <c r="E13">
        <v>1</v>
      </c>
      <c r="F13" t="s">
        <v>61</v>
      </c>
      <c r="G13">
        <v>28</v>
      </c>
      <c r="H13" t="s">
        <v>30</v>
      </c>
      <c r="I13" t="s">
        <v>40</v>
      </c>
      <c r="J13" t="s">
        <v>48</v>
      </c>
      <c r="K13" t="str">
        <f t="shared" si="0"/>
        <v>On Track</v>
      </c>
      <c r="L13" t="str">
        <f t="shared" si="1"/>
        <v>High</v>
      </c>
      <c r="M13" t="str">
        <f t="shared" si="2"/>
        <v>Delayed</v>
      </c>
      <c r="N13" t="str">
        <f t="shared" si="3"/>
        <v>Approved</v>
      </c>
    </row>
    <row r="14" spans="1:14" x14ac:dyDescent="0.3">
      <c r="A14" t="s">
        <v>66</v>
      </c>
      <c r="B14">
        <v>41</v>
      </c>
      <c r="C14">
        <v>100</v>
      </c>
      <c r="D14">
        <v>85</v>
      </c>
      <c r="E14">
        <v>4</v>
      </c>
      <c r="F14" t="s">
        <v>52</v>
      </c>
      <c r="G14">
        <v>3</v>
      </c>
      <c r="H14" t="s">
        <v>46</v>
      </c>
      <c r="I14" t="s">
        <v>31</v>
      </c>
      <c r="J14" t="s">
        <v>32</v>
      </c>
      <c r="K14" t="str">
        <f t="shared" si="0"/>
        <v>On Track</v>
      </c>
      <c r="L14" t="str">
        <f t="shared" si="1"/>
        <v>High</v>
      </c>
      <c r="M14" t="str">
        <f t="shared" si="2"/>
        <v>Fast</v>
      </c>
      <c r="N14" t="str">
        <f t="shared" si="3"/>
        <v>Approved</v>
      </c>
    </row>
    <row r="15" spans="1:14" x14ac:dyDescent="0.3">
      <c r="A15" t="s">
        <v>67</v>
      </c>
      <c r="B15">
        <v>5</v>
      </c>
      <c r="C15">
        <v>80</v>
      </c>
      <c r="D15">
        <v>48</v>
      </c>
      <c r="E15">
        <v>9</v>
      </c>
      <c r="F15" t="s">
        <v>44</v>
      </c>
      <c r="G15">
        <v>23</v>
      </c>
      <c r="H15" t="s">
        <v>30</v>
      </c>
      <c r="I15" t="s">
        <v>31</v>
      </c>
      <c r="J15" t="s">
        <v>32</v>
      </c>
      <c r="K15" t="str">
        <f t="shared" si="0"/>
        <v>On Track</v>
      </c>
      <c r="L15" t="str">
        <f t="shared" si="1"/>
        <v>High</v>
      </c>
      <c r="M15" t="str">
        <f t="shared" si="2"/>
        <v>Delayed</v>
      </c>
      <c r="N15" t="str">
        <f t="shared" si="3"/>
        <v>Approved</v>
      </c>
    </row>
    <row r="16" spans="1:14" x14ac:dyDescent="0.3">
      <c r="A16" t="s">
        <v>68</v>
      </c>
      <c r="B16">
        <v>26</v>
      </c>
      <c r="C16">
        <v>54</v>
      </c>
      <c r="D16">
        <v>78</v>
      </c>
      <c r="E16">
        <v>5</v>
      </c>
      <c r="F16" t="s">
        <v>39</v>
      </c>
      <c r="G16">
        <v>25</v>
      </c>
      <c r="H16" t="s">
        <v>30</v>
      </c>
      <c r="I16" t="s">
        <v>40</v>
      </c>
      <c r="J16" t="s">
        <v>32</v>
      </c>
      <c r="K16" t="str">
        <f t="shared" si="0"/>
        <v>On Track</v>
      </c>
      <c r="L16" t="str">
        <f t="shared" si="1"/>
        <v>High</v>
      </c>
      <c r="M16" t="str">
        <f t="shared" si="2"/>
        <v>Delayed</v>
      </c>
      <c r="N16" t="str">
        <f t="shared" si="3"/>
        <v>Approved</v>
      </c>
    </row>
    <row r="17" spans="1:14" x14ac:dyDescent="0.3">
      <c r="A17" t="s">
        <v>69</v>
      </c>
      <c r="B17">
        <v>94</v>
      </c>
      <c r="C17">
        <v>9</v>
      </c>
      <c r="D17">
        <v>69</v>
      </c>
      <c r="E17">
        <v>7</v>
      </c>
      <c r="F17" t="s">
        <v>39</v>
      </c>
      <c r="G17">
        <v>14</v>
      </c>
      <c r="H17" t="s">
        <v>64</v>
      </c>
      <c r="I17" t="s">
        <v>56</v>
      </c>
      <c r="J17" t="s">
        <v>32</v>
      </c>
      <c r="K17" t="str">
        <f t="shared" si="0"/>
        <v>On Track</v>
      </c>
      <c r="L17" t="str">
        <f t="shared" si="1"/>
        <v>High</v>
      </c>
      <c r="M17" t="str">
        <f t="shared" si="2"/>
        <v>Delayed</v>
      </c>
      <c r="N17" t="str">
        <f t="shared" si="3"/>
        <v>Approved</v>
      </c>
    </row>
    <row r="18" spans="1:14" x14ac:dyDescent="0.3">
      <c r="A18" t="s">
        <v>70</v>
      </c>
      <c r="B18">
        <v>74</v>
      </c>
      <c r="C18">
        <v>2</v>
      </c>
      <c r="D18">
        <v>78</v>
      </c>
      <c r="E18">
        <v>1</v>
      </c>
      <c r="F18" t="s">
        <v>39</v>
      </c>
      <c r="G18">
        <v>3</v>
      </c>
      <c r="H18" t="s">
        <v>64</v>
      </c>
      <c r="I18" t="s">
        <v>40</v>
      </c>
      <c r="J18" t="s">
        <v>48</v>
      </c>
      <c r="K18" t="str">
        <f t="shared" si="0"/>
        <v>On Track</v>
      </c>
      <c r="L18" t="str">
        <f t="shared" si="1"/>
        <v>High</v>
      </c>
      <c r="M18" t="str">
        <f t="shared" si="2"/>
        <v>Fast</v>
      </c>
      <c r="N18" t="str">
        <f t="shared" si="3"/>
        <v>Approved</v>
      </c>
    </row>
    <row r="19" spans="1:14" x14ac:dyDescent="0.3">
      <c r="A19" t="s">
        <v>71</v>
      </c>
      <c r="B19">
        <v>82</v>
      </c>
      <c r="C19">
        <v>45</v>
      </c>
      <c r="D19">
        <v>85</v>
      </c>
      <c r="E19">
        <v>9</v>
      </c>
      <c r="F19" t="s">
        <v>39</v>
      </c>
      <c r="G19">
        <v>7</v>
      </c>
      <c r="H19" t="s">
        <v>46</v>
      </c>
      <c r="I19" t="s">
        <v>40</v>
      </c>
      <c r="J19" t="s">
        <v>41</v>
      </c>
      <c r="K19" t="str">
        <f t="shared" si="0"/>
        <v>On Track</v>
      </c>
      <c r="L19" t="str">
        <f t="shared" si="1"/>
        <v>High</v>
      </c>
      <c r="M19" t="str">
        <f t="shared" si="2"/>
        <v>Delayed</v>
      </c>
      <c r="N19" t="str">
        <f t="shared" si="3"/>
        <v>Approved</v>
      </c>
    </row>
    <row r="20" spans="1:14" x14ac:dyDescent="0.3">
      <c r="A20" t="s">
        <v>72</v>
      </c>
      <c r="B20">
        <v>23</v>
      </c>
      <c r="C20">
        <v>10</v>
      </c>
      <c r="D20">
        <v>46</v>
      </c>
      <c r="E20">
        <v>8</v>
      </c>
      <c r="F20" t="s">
        <v>61</v>
      </c>
      <c r="G20">
        <v>18</v>
      </c>
      <c r="H20" t="s">
        <v>30</v>
      </c>
      <c r="I20" t="s">
        <v>56</v>
      </c>
      <c r="J20" t="s">
        <v>48</v>
      </c>
      <c r="K20" t="str">
        <f t="shared" si="0"/>
        <v>On Track</v>
      </c>
      <c r="L20" t="str">
        <f t="shared" si="1"/>
        <v>High</v>
      </c>
      <c r="M20" t="str">
        <f t="shared" si="2"/>
        <v>Delayed</v>
      </c>
      <c r="N20" t="str">
        <f t="shared" si="3"/>
        <v>Approved</v>
      </c>
    </row>
    <row r="21" spans="1:14" x14ac:dyDescent="0.3">
      <c r="A21" t="s">
        <v>73</v>
      </c>
      <c r="B21">
        <v>100</v>
      </c>
      <c r="C21">
        <v>48</v>
      </c>
      <c r="D21">
        <v>94</v>
      </c>
      <c r="E21">
        <v>3</v>
      </c>
      <c r="F21" t="s">
        <v>52</v>
      </c>
      <c r="G21">
        <v>20</v>
      </c>
      <c r="H21" t="s">
        <v>46</v>
      </c>
      <c r="I21" t="s">
        <v>31</v>
      </c>
      <c r="J21" t="s">
        <v>41</v>
      </c>
      <c r="K21" t="str">
        <f t="shared" si="0"/>
        <v>On Track</v>
      </c>
      <c r="L21" t="str">
        <f t="shared" si="1"/>
        <v>High</v>
      </c>
      <c r="M21" t="str">
        <f t="shared" si="2"/>
        <v>Delayed</v>
      </c>
      <c r="N21" t="str">
        <f t="shared" si="3"/>
        <v>Approved</v>
      </c>
    </row>
    <row r="22" spans="1:14" x14ac:dyDescent="0.3">
      <c r="A22" t="s">
        <v>74</v>
      </c>
      <c r="B22">
        <v>22</v>
      </c>
      <c r="C22">
        <v>27</v>
      </c>
      <c r="D22">
        <v>68</v>
      </c>
      <c r="E22">
        <v>6</v>
      </c>
      <c r="F22" t="s">
        <v>39</v>
      </c>
      <c r="G22">
        <v>29</v>
      </c>
      <c r="H22" t="s">
        <v>64</v>
      </c>
      <c r="I22" t="s">
        <v>40</v>
      </c>
      <c r="J22" t="s">
        <v>32</v>
      </c>
      <c r="K22" t="str">
        <f t="shared" si="0"/>
        <v>On Track</v>
      </c>
      <c r="L22" t="str">
        <f t="shared" si="1"/>
        <v>High</v>
      </c>
      <c r="M22" t="str">
        <f t="shared" si="2"/>
        <v>Delayed</v>
      </c>
      <c r="N22" t="str">
        <f t="shared" si="3"/>
        <v>Approved</v>
      </c>
    </row>
    <row r="23" spans="1:14" x14ac:dyDescent="0.3">
      <c r="A23" t="s">
        <v>75</v>
      </c>
      <c r="B23">
        <v>60</v>
      </c>
      <c r="C23">
        <v>69</v>
      </c>
      <c r="D23">
        <v>7</v>
      </c>
      <c r="E23">
        <v>6</v>
      </c>
      <c r="F23" t="s">
        <v>44</v>
      </c>
      <c r="G23">
        <v>19</v>
      </c>
      <c r="H23" t="s">
        <v>30</v>
      </c>
      <c r="I23" t="s">
        <v>40</v>
      </c>
      <c r="J23" t="s">
        <v>41</v>
      </c>
      <c r="K23" t="str">
        <f t="shared" si="0"/>
        <v>On Track</v>
      </c>
      <c r="L23" t="str">
        <f t="shared" si="1"/>
        <v>High</v>
      </c>
      <c r="M23" t="str">
        <f t="shared" si="2"/>
        <v>Delayed</v>
      </c>
      <c r="N23" t="str">
        <f t="shared" si="3"/>
        <v>Approved</v>
      </c>
    </row>
    <row r="24" spans="1:14" x14ac:dyDescent="0.3">
      <c r="A24" t="s">
        <v>76</v>
      </c>
      <c r="B24">
        <v>55</v>
      </c>
      <c r="C24">
        <v>71</v>
      </c>
      <c r="D24">
        <v>63</v>
      </c>
      <c r="E24">
        <v>10</v>
      </c>
      <c r="F24" t="s">
        <v>52</v>
      </c>
      <c r="G24">
        <v>22</v>
      </c>
      <c r="H24" t="s">
        <v>46</v>
      </c>
      <c r="I24" t="s">
        <v>47</v>
      </c>
      <c r="J24" t="s">
        <v>41</v>
      </c>
      <c r="K24" t="str">
        <f t="shared" si="0"/>
        <v>On Track</v>
      </c>
      <c r="L24" t="str">
        <f t="shared" si="1"/>
        <v>High</v>
      </c>
      <c r="M24" t="str">
        <f t="shared" si="2"/>
        <v>Delayed</v>
      </c>
      <c r="N24" t="str">
        <f t="shared" si="3"/>
        <v>Approved</v>
      </c>
    </row>
    <row r="25" spans="1:14" x14ac:dyDescent="0.3">
      <c r="A25" t="s">
        <v>77</v>
      </c>
      <c r="B25">
        <v>30</v>
      </c>
      <c r="C25">
        <v>84</v>
      </c>
      <c r="D25">
        <v>29</v>
      </c>
      <c r="E25">
        <v>7</v>
      </c>
      <c r="F25" t="s">
        <v>44</v>
      </c>
      <c r="G25">
        <v>11</v>
      </c>
      <c r="H25" t="s">
        <v>30</v>
      </c>
      <c r="I25" t="s">
        <v>47</v>
      </c>
      <c r="J25" t="s">
        <v>48</v>
      </c>
      <c r="K25" t="str">
        <f t="shared" si="0"/>
        <v>On Track</v>
      </c>
      <c r="L25" t="str">
        <f t="shared" si="1"/>
        <v>High</v>
      </c>
      <c r="M25" t="str">
        <f t="shared" si="2"/>
        <v>Delayed</v>
      </c>
      <c r="N25" t="str">
        <f t="shared" si="3"/>
        <v>Approved</v>
      </c>
    </row>
    <row r="26" spans="1:14" x14ac:dyDescent="0.3">
      <c r="A26" t="s">
        <v>78</v>
      </c>
      <c r="B26">
        <v>32</v>
      </c>
      <c r="C26">
        <v>4</v>
      </c>
      <c r="D26">
        <v>2</v>
      </c>
      <c r="E26">
        <v>8</v>
      </c>
      <c r="F26" t="s">
        <v>61</v>
      </c>
      <c r="G26">
        <v>28</v>
      </c>
      <c r="H26" t="s">
        <v>30</v>
      </c>
      <c r="I26" t="s">
        <v>40</v>
      </c>
      <c r="J26" t="s">
        <v>48</v>
      </c>
      <c r="K26" t="str">
        <f t="shared" si="0"/>
        <v>On Track</v>
      </c>
      <c r="L26" t="str">
        <f t="shared" si="1"/>
        <v>High</v>
      </c>
      <c r="M26" t="str">
        <f t="shared" si="2"/>
        <v>Delayed</v>
      </c>
      <c r="N26" t="str">
        <f t="shared" si="3"/>
        <v>Approved</v>
      </c>
    </row>
    <row r="27" spans="1:14" x14ac:dyDescent="0.3">
      <c r="A27" t="s">
        <v>79</v>
      </c>
      <c r="B27">
        <v>73</v>
      </c>
      <c r="C27">
        <v>82</v>
      </c>
      <c r="D27">
        <v>52</v>
      </c>
      <c r="E27">
        <v>3</v>
      </c>
      <c r="F27" t="s">
        <v>52</v>
      </c>
      <c r="G27">
        <v>19</v>
      </c>
      <c r="H27" t="s">
        <v>30</v>
      </c>
      <c r="I27" t="s">
        <v>31</v>
      </c>
      <c r="J27" t="s">
        <v>32</v>
      </c>
      <c r="K27" t="str">
        <f t="shared" si="0"/>
        <v>On Track</v>
      </c>
      <c r="L27" t="str">
        <f t="shared" si="1"/>
        <v>High</v>
      </c>
      <c r="M27" t="str">
        <f t="shared" si="2"/>
        <v>Delayed</v>
      </c>
      <c r="N27" t="str">
        <f t="shared" si="3"/>
        <v>Approved</v>
      </c>
    </row>
    <row r="28" spans="1:14" x14ac:dyDescent="0.3">
      <c r="A28" t="s">
        <v>80</v>
      </c>
      <c r="B28">
        <v>9</v>
      </c>
      <c r="C28">
        <v>59</v>
      </c>
      <c r="D28">
        <v>48</v>
      </c>
      <c r="E28">
        <v>4</v>
      </c>
      <c r="F28" t="s">
        <v>61</v>
      </c>
      <c r="G28">
        <v>26</v>
      </c>
      <c r="H28" t="s">
        <v>64</v>
      </c>
      <c r="I28" t="s">
        <v>47</v>
      </c>
      <c r="J28" t="s">
        <v>48</v>
      </c>
      <c r="K28" t="str">
        <f t="shared" si="0"/>
        <v>On Track</v>
      </c>
      <c r="L28" t="str">
        <f t="shared" si="1"/>
        <v>High</v>
      </c>
      <c r="M28" t="str">
        <f t="shared" si="2"/>
        <v>Delayed</v>
      </c>
      <c r="N28" t="str">
        <f t="shared" si="3"/>
        <v>Approved</v>
      </c>
    </row>
    <row r="29" spans="1:14" x14ac:dyDescent="0.3">
      <c r="A29" t="s">
        <v>81</v>
      </c>
      <c r="B29">
        <v>42</v>
      </c>
      <c r="C29">
        <v>47</v>
      </c>
      <c r="D29">
        <v>62</v>
      </c>
      <c r="E29">
        <v>8</v>
      </c>
      <c r="F29" t="s">
        <v>44</v>
      </c>
      <c r="G29">
        <v>25</v>
      </c>
      <c r="H29" t="s">
        <v>46</v>
      </c>
      <c r="I29" t="s">
        <v>56</v>
      </c>
      <c r="J29" t="s">
        <v>32</v>
      </c>
      <c r="K29" t="str">
        <f t="shared" si="0"/>
        <v>On Track</v>
      </c>
      <c r="L29" t="str">
        <f t="shared" si="1"/>
        <v>High</v>
      </c>
      <c r="M29" t="str">
        <f t="shared" si="2"/>
        <v>Delayed</v>
      </c>
      <c r="N29" t="str">
        <f t="shared" si="3"/>
        <v>Approved</v>
      </c>
    </row>
    <row r="30" spans="1:14" x14ac:dyDescent="0.3">
      <c r="A30" t="s">
        <v>82</v>
      </c>
      <c r="B30">
        <v>12</v>
      </c>
      <c r="C30">
        <v>48</v>
      </c>
      <c r="D30">
        <v>24</v>
      </c>
      <c r="E30">
        <v>4</v>
      </c>
      <c r="F30" t="s">
        <v>39</v>
      </c>
      <c r="G30">
        <v>13</v>
      </c>
      <c r="H30" t="s">
        <v>46</v>
      </c>
      <c r="I30" t="s">
        <v>40</v>
      </c>
      <c r="J30" t="s">
        <v>48</v>
      </c>
      <c r="K30" t="str">
        <f t="shared" si="0"/>
        <v>On Track</v>
      </c>
      <c r="L30" t="str">
        <f t="shared" si="1"/>
        <v>High</v>
      </c>
      <c r="M30" t="str">
        <f t="shared" si="2"/>
        <v>Delayed</v>
      </c>
      <c r="N30" t="str">
        <f t="shared" si="3"/>
        <v>Approved</v>
      </c>
    </row>
    <row r="31" spans="1:14" x14ac:dyDescent="0.3">
      <c r="A31" t="s">
        <v>83</v>
      </c>
      <c r="B31">
        <v>3</v>
      </c>
      <c r="C31">
        <v>45</v>
      </c>
      <c r="D31">
        <v>67</v>
      </c>
      <c r="E31">
        <v>7</v>
      </c>
      <c r="F31" t="s">
        <v>39</v>
      </c>
      <c r="G31">
        <v>16</v>
      </c>
      <c r="H31" t="s">
        <v>64</v>
      </c>
      <c r="I31" t="s">
        <v>31</v>
      </c>
      <c r="J31" t="s">
        <v>32</v>
      </c>
      <c r="K31" t="str">
        <f t="shared" si="0"/>
        <v>On Track</v>
      </c>
      <c r="L31" t="str">
        <f t="shared" si="1"/>
        <v>High</v>
      </c>
      <c r="M31" t="str">
        <f t="shared" si="2"/>
        <v>Delayed</v>
      </c>
      <c r="N31" t="str">
        <f t="shared" si="3"/>
        <v>Approved</v>
      </c>
    </row>
    <row r="32" spans="1:14" x14ac:dyDescent="0.3">
      <c r="A32" t="s">
        <v>84</v>
      </c>
      <c r="B32">
        <v>10</v>
      </c>
      <c r="C32">
        <v>60</v>
      </c>
      <c r="D32">
        <v>35</v>
      </c>
      <c r="E32">
        <v>7</v>
      </c>
      <c r="F32" t="s">
        <v>52</v>
      </c>
      <c r="G32">
        <v>27</v>
      </c>
      <c r="H32" t="s">
        <v>30</v>
      </c>
      <c r="I32" t="s">
        <v>31</v>
      </c>
      <c r="J32" t="s">
        <v>41</v>
      </c>
      <c r="K32" t="str">
        <f t="shared" si="0"/>
        <v>On Track</v>
      </c>
      <c r="L32" t="str">
        <f t="shared" si="1"/>
        <v>High</v>
      </c>
      <c r="M32" t="str">
        <f t="shared" si="2"/>
        <v>Delayed</v>
      </c>
      <c r="N32" t="str">
        <f t="shared" si="3"/>
        <v>Approved</v>
      </c>
    </row>
    <row r="33" spans="1:14" x14ac:dyDescent="0.3">
      <c r="A33" t="s">
        <v>85</v>
      </c>
      <c r="B33">
        <v>28</v>
      </c>
      <c r="C33">
        <v>6</v>
      </c>
      <c r="D33">
        <v>44</v>
      </c>
      <c r="E33">
        <v>4</v>
      </c>
      <c r="F33" t="s">
        <v>28</v>
      </c>
      <c r="G33">
        <v>24</v>
      </c>
      <c r="H33" t="s">
        <v>30</v>
      </c>
      <c r="I33" t="s">
        <v>47</v>
      </c>
      <c r="J33" t="s">
        <v>41</v>
      </c>
      <c r="K33" t="str">
        <f t="shared" si="0"/>
        <v>On Track</v>
      </c>
      <c r="L33" t="str">
        <f t="shared" si="1"/>
        <v>High</v>
      </c>
      <c r="M33" t="str">
        <f t="shared" si="2"/>
        <v>Delayed</v>
      </c>
      <c r="N33" t="str">
        <f t="shared" si="3"/>
        <v>Approved</v>
      </c>
    </row>
    <row r="34" spans="1:14" x14ac:dyDescent="0.3">
      <c r="A34" t="s">
        <v>86</v>
      </c>
      <c r="B34">
        <v>43</v>
      </c>
      <c r="C34">
        <v>89</v>
      </c>
      <c r="D34">
        <v>64</v>
      </c>
      <c r="E34">
        <v>4</v>
      </c>
      <c r="F34" t="s">
        <v>28</v>
      </c>
      <c r="G34">
        <v>30</v>
      </c>
      <c r="H34" t="s">
        <v>64</v>
      </c>
      <c r="I34" t="s">
        <v>31</v>
      </c>
      <c r="J34" t="s">
        <v>48</v>
      </c>
      <c r="K34" t="str">
        <f t="shared" si="0"/>
        <v>On Track</v>
      </c>
      <c r="L34" t="str">
        <f t="shared" si="1"/>
        <v>High</v>
      </c>
      <c r="M34" t="str">
        <f t="shared" si="2"/>
        <v>Delayed</v>
      </c>
      <c r="N34" t="str">
        <f t="shared" si="3"/>
        <v>Approved</v>
      </c>
    </row>
    <row r="35" spans="1:14" x14ac:dyDescent="0.3">
      <c r="A35" t="s">
        <v>87</v>
      </c>
      <c r="B35">
        <v>63</v>
      </c>
      <c r="C35">
        <v>4</v>
      </c>
      <c r="D35">
        <v>95</v>
      </c>
      <c r="E35">
        <v>9</v>
      </c>
      <c r="F35" t="s">
        <v>44</v>
      </c>
      <c r="G35">
        <v>1</v>
      </c>
      <c r="H35" t="s">
        <v>46</v>
      </c>
      <c r="I35" t="s">
        <v>56</v>
      </c>
      <c r="J35" t="s">
        <v>48</v>
      </c>
      <c r="K35" t="str">
        <f t="shared" si="0"/>
        <v>On Track</v>
      </c>
      <c r="L35" t="str">
        <f t="shared" si="1"/>
        <v>High</v>
      </c>
      <c r="M35" t="str">
        <f t="shared" si="2"/>
        <v>Fast</v>
      </c>
      <c r="N35" t="str">
        <f t="shared" si="3"/>
        <v>Approved</v>
      </c>
    </row>
    <row r="36" spans="1:14" x14ac:dyDescent="0.3">
      <c r="A36" t="s">
        <v>88</v>
      </c>
      <c r="B36">
        <v>96</v>
      </c>
      <c r="C36">
        <v>1</v>
      </c>
      <c r="D36">
        <v>21</v>
      </c>
      <c r="E36">
        <v>7</v>
      </c>
      <c r="F36" t="s">
        <v>39</v>
      </c>
      <c r="G36">
        <v>4</v>
      </c>
      <c r="H36" t="s">
        <v>64</v>
      </c>
      <c r="I36" t="s">
        <v>31</v>
      </c>
      <c r="J36" t="s">
        <v>32</v>
      </c>
      <c r="K36" t="str">
        <f t="shared" si="0"/>
        <v>On Track</v>
      </c>
      <c r="L36" t="str">
        <f t="shared" si="1"/>
        <v>High</v>
      </c>
      <c r="M36" t="str">
        <f t="shared" si="2"/>
        <v>Moderate</v>
      </c>
      <c r="N36" t="str">
        <f t="shared" si="3"/>
        <v>Approved</v>
      </c>
    </row>
    <row r="37" spans="1:14" x14ac:dyDescent="0.3">
      <c r="A37" t="s">
        <v>89</v>
      </c>
      <c r="B37">
        <v>11</v>
      </c>
      <c r="C37">
        <v>42</v>
      </c>
      <c r="D37">
        <v>85</v>
      </c>
      <c r="E37">
        <v>8</v>
      </c>
      <c r="F37" t="s">
        <v>39</v>
      </c>
      <c r="G37">
        <v>3</v>
      </c>
      <c r="H37" t="s">
        <v>64</v>
      </c>
      <c r="I37" t="s">
        <v>56</v>
      </c>
      <c r="J37" t="s">
        <v>41</v>
      </c>
      <c r="K37" t="str">
        <f t="shared" si="0"/>
        <v>On Track</v>
      </c>
      <c r="L37" t="str">
        <f t="shared" si="1"/>
        <v>High</v>
      </c>
      <c r="M37" t="str">
        <f t="shared" si="2"/>
        <v>Fast</v>
      </c>
      <c r="N37" t="str">
        <f t="shared" si="3"/>
        <v>Approved</v>
      </c>
    </row>
    <row r="38" spans="1:14" x14ac:dyDescent="0.3">
      <c r="A38" t="s">
        <v>90</v>
      </c>
      <c r="B38">
        <v>34</v>
      </c>
      <c r="C38">
        <v>18</v>
      </c>
      <c r="D38">
        <v>28</v>
      </c>
      <c r="E38">
        <v>3</v>
      </c>
      <c r="F38" t="s">
        <v>61</v>
      </c>
      <c r="G38">
        <v>26</v>
      </c>
      <c r="H38" t="s">
        <v>46</v>
      </c>
      <c r="I38" t="s">
        <v>40</v>
      </c>
      <c r="J38" t="s">
        <v>41</v>
      </c>
      <c r="K38" t="str">
        <f t="shared" si="0"/>
        <v>On Track</v>
      </c>
      <c r="L38" t="str">
        <f t="shared" si="1"/>
        <v>High</v>
      </c>
      <c r="M38" t="str">
        <f t="shared" si="2"/>
        <v>Delayed</v>
      </c>
      <c r="N38" t="str">
        <f t="shared" si="3"/>
        <v>Approved</v>
      </c>
    </row>
    <row r="39" spans="1:14" x14ac:dyDescent="0.3">
      <c r="A39" t="s">
        <v>91</v>
      </c>
      <c r="B39">
        <v>5</v>
      </c>
      <c r="C39">
        <v>25</v>
      </c>
      <c r="D39">
        <v>21</v>
      </c>
      <c r="E39">
        <v>9</v>
      </c>
      <c r="F39" t="s">
        <v>28</v>
      </c>
      <c r="G39">
        <v>24</v>
      </c>
      <c r="H39" t="s">
        <v>30</v>
      </c>
      <c r="I39" t="s">
        <v>56</v>
      </c>
      <c r="J39" t="s">
        <v>48</v>
      </c>
      <c r="K39" t="str">
        <f t="shared" si="0"/>
        <v>On Track</v>
      </c>
      <c r="L39" t="str">
        <f t="shared" si="1"/>
        <v>High</v>
      </c>
      <c r="M39" t="str">
        <f t="shared" si="2"/>
        <v>Delayed</v>
      </c>
      <c r="N39" t="str">
        <f t="shared" si="3"/>
        <v>Approved</v>
      </c>
    </row>
    <row r="40" spans="1:14" x14ac:dyDescent="0.3">
      <c r="A40" t="s">
        <v>92</v>
      </c>
      <c r="B40">
        <v>75</v>
      </c>
      <c r="C40">
        <v>69</v>
      </c>
      <c r="D40">
        <v>88</v>
      </c>
      <c r="E40">
        <v>5</v>
      </c>
      <c r="F40" t="s">
        <v>44</v>
      </c>
      <c r="G40">
        <v>10</v>
      </c>
      <c r="H40" t="s">
        <v>30</v>
      </c>
      <c r="I40" t="s">
        <v>40</v>
      </c>
      <c r="J40" t="s">
        <v>32</v>
      </c>
      <c r="K40" t="str">
        <f t="shared" si="0"/>
        <v>On Track</v>
      </c>
      <c r="L40" t="str">
        <f t="shared" si="1"/>
        <v>High</v>
      </c>
      <c r="M40" t="str">
        <f t="shared" si="2"/>
        <v>Delayed</v>
      </c>
      <c r="N40" t="str">
        <f t="shared" si="3"/>
        <v>Approved</v>
      </c>
    </row>
    <row r="41" spans="1:14" x14ac:dyDescent="0.3">
      <c r="A41" t="s">
        <v>93</v>
      </c>
      <c r="B41">
        <v>26</v>
      </c>
      <c r="C41">
        <v>78</v>
      </c>
      <c r="D41">
        <v>34</v>
      </c>
      <c r="E41">
        <v>3</v>
      </c>
      <c r="F41" t="s">
        <v>61</v>
      </c>
      <c r="G41">
        <v>30</v>
      </c>
      <c r="H41" t="s">
        <v>46</v>
      </c>
      <c r="I41" t="s">
        <v>40</v>
      </c>
      <c r="J41" t="s">
        <v>32</v>
      </c>
      <c r="K41" t="str">
        <f t="shared" si="0"/>
        <v>On Track</v>
      </c>
      <c r="L41" t="str">
        <f t="shared" si="1"/>
        <v>High</v>
      </c>
      <c r="M41" t="str">
        <f t="shared" si="2"/>
        <v>Delayed</v>
      </c>
      <c r="N41" t="str">
        <f t="shared" si="3"/>
        <v>Approved</v>
      </c>
    </row>
    <row r="42" spans="1:14" x14ac:dyDescent="0.3">
      <c r="A42" t="s">
        <v>94</v>
      </c>
      <c r="B42">
        <v>97</v>
      </c>
      <c r="C42">
        <v>90</v>
      </c>
      <c r="D42">
        <v>39</v>
      </c>
      <c r="E42">
        <v>8</v>
      </c>
      <c r="F42" t="s">
        <v>39</v>
      </c>
      <c r="G42">
        <v>18</v>
      </c>
      <c r="H42" t="s">
        <v>30</v>
      </c>
      <c r="I42" t="s">
        <v>31</v>
      </c>
      <c r="J42" t="s">
        <v>48</v>
      </c>
      <c r="K42" t="str">
        <f t="shared" si="0"/>
        <v>On Track</v>
      </c>
      <c r="L42" t="str">
        <f t="shared" si="1"/>
        <v>High</v>
      </c>
      <c r="M42" t="str">
        <f t="shared" si="2"/>
        <v>Delayed</v>
      </c>
      <c r="N42" t="str">
        <f t="shared" si="3"/>
        <v>Approved</v>
      </c>
    </row>
    <row r="43" spans="1:14" x14ac:dyDescent="0.3">
      <c r="A43" t="s">
        <v>95</v>
      </c>
      <c r="B43">
        <v>35</v>
      </c>
      <c r="C43">
        <v>64</v>
      </c>
      <c r="D43">
        <v>38</v>
      </c>
      <c r="E43">
        <v>8</v>
      </c>
      <c r="F43" t="s">
        <v>52</v>
      </c>
      <c r="G43">
        <v>18</v>
      </c>
      <c r="H43" t="s">
        <v>46</v>
      </c>
      <c r="I43" t="s">
        <v>56</v>
      </c>
      <c r="J43" t="s">
        <v>48</v>
      </c>
      <c r="K43" t="str">
        <f t="shared" si="0"/>
        <v>On Track</v>
      </c>
      <c r="L43" t="str">
        <f t="shared" si="1"/>
        <v>High</v>
      </c>
      <c r="M43" t="str">
        <f t="shared" si="2"/>
        <v>Delayed</v>
      </c>
      <c r="N43" t="str">
        <f t="shared" si="3"/>
        <v>Approved</v>
      </c>
    </row>
    <row r="44" spans="1:14" x14ac:dyDescent="0.3">
      <c r="A44" t="s">
        <v>96</v>
      </c>
      <c r="B44">
        <v>98</v>
      </c>
      <c r="C44">
        <v>22</v>
      </c>
      <c r="D44">
        <v>57</v>
      </c>
      <c r="E44">
        <v>4</v>
      </c>
      <c r="F44" t="s">
        <v>44</v>
      </c>
      <c r="G44">
        <v>26</v>
      </c>
      <c r="H44" t="s">
        <v>46</v>
      </c>
      <c r="I44" t="s">
        <v>31</v>
      </c>
      <c r="J44" t="s">
        <v>48</v>
      </c>
      <c r="K44" t="str">
        <f t="shared" si="0"/>
        <v>On Track</v>
      </c>
      <c r="L44" t="str">
        <f t="shared" si="1"/>
        <v>High</v>
      </c>
      <c r="M44" t="str">
        <f t="shared" si="2"/>
        <v>Delayed</v>
      </c>
      <c r="N44" t="str">
        <f t="shared" si="3"/>
        <v>Approved</v>
      </c>
    </row>
    <row r="45" spans="1:14" x14ac:dyDescent="0.3">
      <c r="A45" t="s">
        <v>97</v>
      </c>
      <c r="B45">
        <v>6</v>
      </c>
      <c r="C45">
        <v>36</v>
      </c>
      <c r="D45">
        <v>85</v>
      </c>
      <c r="E45">
        <v>9</v>
      </c>
      <c r="F45" t="s">
        <v>44</v>
      </c>
      <c r="G45">
        <v>1</v>
      </c>
      <c r="H45" t="s">
        <v>30</v>
      </c>
      <c r="I45" t="s">
        <v>40</v>
      </c>
      <c r="J45" t="s">
        <v>48</v>
      </c>
      <c r="K45" t="str">
        <f t="shared" si="0"/>
        <v>On Track</v>
      </c>
      <c r="L45" t="str">
        <f t="shared" si="1"/>
        <v>High</v>
      </c>
      <c r="M45" t="str">
        <f t="shared" si="2"/>
        <v>Fast</v>
      </c>
      <c r="N45" t="str">
        <f t="shared" si="3"/>
        <v>Approved</v>
      </c>
    </row>
    <row r="46" spans="1:14" x14ac:dyDescent="0.3">
      <c r="A46" t="s">
        <v>98</v>
      </c>
      <c r="B46">
        <v>34</v>
      </c>
      <c r="C46">
        <v>13</v>
      </c>
      <c r="D46">
        <v>72</v>
      </c>
      <c r="E46">
        <v>6</v>
      </c>
      <c r="F46" t="s">
        <v>61</v>
      </c>
      <c r="G46">
        <v>7</v>
      </c>
      <c r="H46" t="s">
        <v>46</v>
      </c>
      <c r="I46" t="s">
        <v>47</v>
      </c>
      <c r="J46" t="s">
        <v>48</v>
      </c>
      <c r="K46" t="str">
        <f t="shared" si="0"/>
        <v>On Track</v>
      </c>
      <c r="L46" t="str">
        <f t="shared" si="1"/>
        <v>High</v>
      </c>
      <c r="M46" t="str">
        <f t="shared" si="2"/>
        <v>Delayed</v>
      </c>
      <c r="N46" t="str">
        <f t="shared" si="3"/>
        <v>Approved</v>
      </c>
    </row>
    <row r="47" spans="1:14" x14ac:dyDescent="0.3">
      <c r="A47" t="s">
        <v>99</v>
      </c>
      <c r="B47">
        <v>1</v>
      </c>
      <c r="C47">
        <v>93</v>
      </c>
      <c r="D47">
        <v>52</v>
      </c>
      <c r="E47">
        <v>6</v>
      </c>
      <c r="F47" t="s">
        <v>61</v>
      </c>
      <c r="G47">
        <v>25</v>
      </c>
      <c r="H47" t="s">
        <v>64</v>
      </c>
      <c r="I47" t="s">
        <v>47</v>
      </c>
      <c r="J47" t="s">
        <v>48</v>
      </c>
      <c r="K47" t="str">
        <f t="shared" si="0"/>
        <v>On Track</v>
      </c>
      <c r="L47" t="str">
        <f t="shared" si="1"/>
        <v>High</v>
      </c>
      <c r="M47" t="str">
        <f t="shared" si="2"/>
        <v>Delayed</v>
      </c>
      <c r="N47" t="str">
        <f t="shared" si="3"/>
        <v>Approved</v>
      </c>
    </row>
    <row r="48" spans="1:14" x14ac:dyDescent="0.3">
      <c r="A48" t="s">
        <v>100</v>
      </c>
      <c r="B48">
        <v>75</v>
      </c>
      <c r="C48">
        <v>92</v>
      </c>
      <c r="D48">
        <v>6</v>
      </c>
      <c r="E48">
        <v>8</v>
      </c>
      <c r="F48" t="s">
        <v>28</v>
      </c>
      <c r="G48">
        <v>18</v>
      </c>
      <c r="H48" t="s">
        <v>30</v>
      </c>
      <c r="I48" t="s">
        <v>31</v>
      </c>
      <c r="J48" t="s">
        <v>32</v>
      </c>
      <c r="K48" t="str">
        <f t="shared" si="0"/>
        <v>On Track</v>
      </c>
      <c r="L48" t="str">
        <f t="shared" si="1"/>
        <v>High</v>
      </c>
      <c r="M48" t="str">
        <f t="shared" si="2"/>
        <v>Delayed</v>
      </c>
      <c r="N48" t="str">
        <f t="shared" si="3"/>
        <v>Approved</v>
      </c>
    </row>
    <row r="49" spans="1:14" x14ac:dyDescent="0.3">
      <c r="A49" t="s">
        <v>101</v>
      </c>
      <c r="B49">
        <v>93</v>
      </c>
      <c r="C49">
        <v>4</v>
      </c>
      <c r="D49">
        <v>51</v>
      </c>
      <c r="E49">
        <v>9</v>
      </c>
      <c r="F49" t="s">
        <v>39</v>
      </c>
      <c r="G49">
        <v>10</v>
      </c>
      <c r="H49" t="s">
        <v>30</v>
      </c>
      <c r="I49" t="s">
        <v>47</v>
      </c>
      <c r="J49" t="s">
        <v>48</v>
      </c>
      <c r="K49" t="str">
        <f t="shared" si="0"/>
        <v>On Track</v>
      </c>
      <c r="L49" t="str">
        <f t="shared" si="1"/>
        <v>High</v>
      </c>
      <c r="M49" t="str">
        <f t="shared" si="2"/>
        <v>Delayed</v>
      </c>
      <c r="N49" t="str">
        <f t="shared" si="3"/>
        <v>Approved</v>
      </c>
    </row>
    <row r="50" spans="1:14" x14ac:dyDescent="0.3">
      <c r="A50" t="s">
        <v>102</v>
      </c>
      <c r="B50">
        <v>28</v>
      </c>
      <c r="C50">
        <v>30</v>
      </c>
      <c r="D50">
        <v>9</v>
      </c>
      <c r="E50">
        <v>3</v>
      </c>
      <c r="F50" t="s">
        <v>61</v>
      </c>
      <c r="G50">
        <v>9</v>
      </c>
      <c r="H50" t="s">
        <v>46</v>
      </c>
      <c r="I50" t="s">
        <v>47</v>
      </c>
      <c r="J50" t="s">
        <v>32</v>
      </c>
      <c r="K50" t="str">
        <f t="shared" si="0"/>
        <v>On Track</v>
      </c>
      <c r="L50" t="str">
        <f t="shared" si="1"/>
        <v>High</v>
      </c>
      <c r="M50" t="str">
        <f t="shared" si="2"/>
        <v>Delayed</v>
      </c>
      <c r="N50" t="str">
        <f t="shared" si="3"/>
        <v>Approved</v>
      </c>
    </row>
    <row r="51" spans="1:14" x14ac:dyDescent="0.3">
      <c r="A51" t="s">
        <v>103</v>
      </c>
      <c r="B51">
        <v>19</v>
      </c>
      <c r="C51">
        <v>97</v>
      </c>
      <c r="D51">
        <v>9</v>
      </c>
      <c r="E51">
        <v>6</v>
      </c>
      <c r="F51" t="s">
        <v>44</v>
      </c>
      <c r="G51">
        <v>28</v>
      </c>
      <c r="H51" t="s">
        <v>64</v>
      </c>
      <c r="I51" t="s">
        <v>47</v>
      </c>
      <c r="J51" t="s">
        <v>48</v>
      </c>
      <c r="K51" t="str">
        <f t="shared" si="0"/>
        <v>On Track</v>
      </c>
      <c r="L51" t="str">
        <f t="shared" si="1"/>
        <v>High</v>
      </c>
      <c r="M51" t="str">
        <f t="shared" si="2"/>
        <v>Delayed</v>
      </c>
      <c r="N51" t="str">
        <f t="shared" si="3"/>
        <v>Approved</v>
      </c>
    </row>
    <row r="52" spans="1:14" x14ac:dyDescent="0.3">
      <c r="A52" t="s">
        <v>104</v>
      </c>
      <c r="B52">
        <v>91</v>
      </c>
      <c r="C52">
        <v>31</v>
      </c>
      <c r="D52">
        <v>82</v>
      </c>
      <c r="E52">
        <v>10</v>
      </c>
      <c r="F52" t="s">
        <v>61</v>
      </c>
      <c r="G52">
        <v>20</v>
      </c>
      <c r="H52" t="s">
        <v>46</v>
      </c>
      <c r="I52" t="s">
        <v>47</v>
      </c>
      <c r="J52" t="s">
        <v>32</v>
      </c>
      <c r="K52" t="str">
        <f t="shared" si="0"/>
        <v>On Track</v>
      </c>
      <c r="L52" t="str">
        <f t="shared" si="1"/>
        <v>High</v>
      </c>
      <c r="M52" t="str">
        <f t="shared" si="2"/>
        <v>Delayed</v>
      </c>
      <c r="N52" t="str">
        <f t="shared" si="3"/>
        <v>Approved</v>
      </c>
    </row>
    <row r="53" spans="1:14" x14ac:dyDescent="0.3">
      <c r="A53" t="s">
        <v>105</v>
      </c>
      <c r="B53">
        <v>61</v>
      </c>
      <c r="C53">
        <v>100</v>
      </c>
      <c r="D53">
        <v>52</v>
      </c>
      <c r="E53">
        <v>1</v>
      </c>
      <c r="F53" t="s">
        <v>44</v>
      </c>
      <c r="G53">
        <v>18</v>
      </c>
      <c r="H53" t="s">
        <v>30</v>
      </c>
      <c r="I53" t="s">
        <v>31</v>
      </c>
      <c r="J53" t="s">
        <v>48</v>
      </c>
      <c r="K53" t="str">
        <f t="shared" si="0"/>
        <v>On Track</v>
      </c>
      <c r="L53" t="str">
        <f t="shared" si="1"/>
        <v>High</v>
      </c>
      <c r="M53" t="str">
        <f t="shared" si="2"/>
        <v>Delayed</v>
      </c>
      <c r="N53" t="str">
        <f t="shared" si="3"/>
        <v>Approved</v>
      </c>
    </row>
    <row r="54" spans="1:14" x14ac:dyDescent="0.3">
      <c r="A54" t="s">
        <v>106</v>
      </c>
      <c r="B54">
        <v>1</v>
      </c>
      <c r="C54">
        <v>64</v>
      </c>
      <c r="D54">
        <v>11</v>
      </c>
      <c r="E54">
        <v>1</v>
      </c>
      <c r="F54" t="s">
        <v>39</v>
      </c>
      <c r="G54">
        <v>10</v>
      </c>
      <c r="H54" t="s">
        <v>30</v>
      </c>
      <c r="I54" t="s">
        <v>40</v>
      </c>
      <c r="J54" t="s">
        <v>41</v>
      </c>
      <c r="K54" t="str">
        <f t="shared" si="0"/>
        <v>On Track</v>
      </c>
      <c r="L54" t="str">
        <f t="shared" si="1"/>
        <v>High</v>
      </c>
      <c r="M54" t="str">
        <f t="shared" si="2"/>
        <v>Delayed</v>
      </c>
      <c r="N54" t="str">
        <f t="shared" si="3"/>
        <v>Approved</v>
      </c>
    </row>
    <row r="55" spans="1:14" x14ac:dyDescent="0.3">
      <c r="A55" t="s">
        <v>107</v>
      </c>
      <c r="B55">
        <v>93</v>
      </c>
      <c r="C55">
        <v>96</v>
      </c>
      <c r="D55">
        <v>54</v>
      </c>
      <c r="E55">
        <v>3</v>
      </c>
      <c r="F55" t="s">
        <v>39</v>
      </c>
      <c r="G55">
        <v>1</v>
      </c>
      <c r="H55" t="s">
        <v>30</v>
      </c>
      <c r="I55" t="s">
        <v>40</v>
      </c>
      <c r="J55" t="s">
        <v>32</v>
      </c>
      <c r="K55" t="str">
        <f t="shared" si="0"/>
        <v>On Track</v>
      </c>
      <c r="L55" t="str">
        <f t="shared" si="1"/>
        <v>High</v>
      </c>
      <c r="M55" t="str">
        <f t="shared" si="2"/>
        <v>Fast</v>
      </c>
      <c r="N55" t="str">
        <f t="shared" si="3"/>
        <v>Approved</v>
      </c>
    </row>
    <row r="56" spans="1:14" x14ac:dyDescent="0.3">
      <c r="A56" t="s">
        <v>108</v>
      </c>
      <c r="B56">
        <v>11</v>
      </c>
      <c r="C56">
        <v>33</v>
      </c>
      <c r="D56">
        <v>61</v>
      </c>
      <c r="E56">
        <v>3</v>
      </c>
      <c r="F56" t="s">
        <v>39</v>
      </c>
      <c r="G56">
        <v>26</v>
      </c>
      <c r="H56" t="s">
        <v>64</v>
      </c>
      <c r="I56" t="s">
        <v>31</v>
      </c>
      <c r="J56" t="s">
        <v>32</v>
      </c>
      <c r="K56" t="str">
        <f t="shared" si="0"/>
        <v>On Track</v>
      </c>
      <c r="L56" t="str">
        <f t="shared" si="1"/>
        <v>High</v>
      </c>
      <c r="M56" t="str">
        <f t="shared" si="2"/>
        <v>Delayed</v>
      </c>
      <c r="N56" t="str">
        <f t="shared" si="3"/>
        <v>Approved</v>
      </c>
    </row>
    <row r="57" spans="1:14" x14ac:dyDescent="0.3">
      <c r="A57" t="s">
        <v>109</v>
      </c>
      <c r="B57">
        <v>16</v>
      </c>
      <c r="C57">
        <v>97</v>
      </c>
      <c r="D57">
        <v>11</v>
      </c>
      <c r="E57">
        <v>5</v>
      </c>
      <c r="F57" t="s">
        <v>61</v>
      </c>
      <c r="G57">
        <v>27</v>
      </c>
      <c r="H57" t="s">
        <v>46</v>
      </c>
      <c r="I57" t="s">
        <v>56</v>
      </c>
      <c r="J57" t="s">
        <v>32</v>
      </c>
      <c r="K57" t="str">
        <f t="shared" si="0"/>
        <v>On Track</v>
      </c>
      <c r="L57" t="str">
        <f t="shared" si="1"/>
        <v>High</v>
      </c>
      <c r="M57" t="str">
        <f t="shared" si="2"/>
        <v>Delayed</v>
      </c>
      <c r="N57" t="str">
        <f t="shared" si="3"/>
        <v>Approved</v>
      </c>
    </row>
    <row r="58" spans="1:14" x14ac:dyDescent="0.3">
      <c r="A58" t="s">
        <v>110</v>
      </c>
      <c r="B58">
        <v>90</v>
      </c>
      <c r="C58">
        <v>25</v>
      </c>
      <c r="D58">
        <v>83</v>
      </c>
      <c r="E58">
        <v>5</v>
      </c>
      <c r="F58" t="s">
        <v>39</v>
      </c>
      <c r="G58">
        <v>24</v>
      </c>
      <c r="H58" t="s">
        <v>64</v>
      </c>
      <c r="I58" t="s">
        <v>40</v>
      </c>
      <c r="J58" t="s">
        <v>32</v>
      </c>
      <c r="K58" t="str">
        <f t="shared" si="0"/>
        <v>On Track</v>
      </c>
      <c r="L58" t="str">
        <f t="shared" si="1"/>
        <v>High</v>
      </c>
      <c r="M58" t="str">
        <f t="shared" si="2"/>
        <v>Delayed</v>
      </c>
      <c r="N58" t="str">
        <f t="shared" si="3"/>
        <v>Approved</v>
      </c>
    </row>
    <row r="59" spans="1:14" x14ac:dyDescent="0.3">
      <c r="A59" t="s">
        <v>111</v>
      </c>
      <c r="B59">
        <v>65</v>
      </c>
      <c r="C59">
        <v>5</v>
      </c>
      <c r="D59">
        <v>51</v>
      </c>
      <c r="E59">
        <v>1</v>
      </c>
      <c r="F59" t="s">
        <v>61</v>
      </c>
      <c r="G59">
        <v>21</v>
      </c>
      <c r="H59" t="s">
        <v>30</v>
      </c>
      <c r="I59" t="s">
        <v>47</v>
      </c>
      <c r="J59" t="s">
        <v>48</v>
      </c>
      <c r="K59" t="str">
        <f t="shared" si="0"/>
        <v>On Track</v>
      </c>
      <c r="L59" t="str">
        <f t="shared" si="1"/>
        <v>High</v>
      </c>
      <c r="M59" t="str">
        <f t="shared" si="2"/>
        <v>Delayed</v>
      </c>
      <c r="N59" t="str">
        <f t="shared" si="3"/>
        <v>Approved</v>
      </c>
    </row>
    <row r="60" spans="1:14" x14ac:dyDescent="0.3">
      <c r="A60" t="s">
        <v>112</v>
      </c>
      <c r="B60">
        <v>81</v>
      </c>
      <c r="C60">
        <v>10</v>
      </c>
      <c r="D60">
        <v>44</v>
      </c>
      <c r="E60">
        <v>7</v>
      </c>
      <c r="F60" t="s">
        <v>28</v>
      </c>
      <c r="G60">
        <v>18</v>
      </c>
      <c r="H60" t="s">
        <v>46</v>
      </c>
      <c r="I60" t="s">
        <v>31</v>
      </c>
      <c r="J60" t="s">
        <v>32</v>
      </c>
      <c r="K60" t="str">
        <f t="shared" si="0"/>
        <v>On Track</v>
      </c>
      <c r="L60" t="str">
        <f t="shared" si="1"/>
        <v>High</v>
      </c>
      <c r="M60" t="str">
        <f t="shared" si="2"/>
        <v>Delayed</v>
      </c>
      <c r="N60" t="str">
        <f t="shared" si="3"/>
        <v>Approved</v>
      </c>
    </row>
    <row r="61" spans="1:14" x14ac:dyDescent="0.3">
      <c r="A61" t="s">
        <v>113</v>
      </c>
      <c r="B61">
        <v>30</v>
      </c>
      <c r="C61">
        <v>100</v>
      </c>
      <c r="D61">
        <v>26</v>
      </c>
      <c r="E61">
        <v>7</v>
      </c>
      <c r="F61" t="s">
        <v>39</v>
      </c>
      <c r="G61">
        <v>11</v>
      </c>
      <c r="H61" t="s">
        <v>46</v>
      </c>
      <c r="I61" t="s">
        <v>40</v>
      </c>
      <c r="J61" t="s">
        <v>48</v>
      </c>
      <c r="K61" t="str">
        <f t="shared" si="0"/>
        <v>On Track</v>
      </c>
      <c r="L61" t="str">
        <f t="shared" si="1"/>
        <v>High</v>
      </c>
      <c r="M61" t="str">
        <f t="shared" si="2"/>
        <v>Delayed</v>
      </c>
      <c r="N61" t="str">
        <f t="shared" si="3"/>
        <v>Approved</v>
      </c>
    </row>
    <row r="62" spans="1:14" x14ac:dyDescent="0.3">
      <c r="A62" t="s">
        <v>114</v>
      </c>
      <c r="B62">
        <v>16</v>
      </c>
      <c r="C62">
        <v>41</v>
      </c>
      <c r="D62">
        <v>72</v>
      </c>
      <c r="E62">
        <v>8</v>
      </c>
      <c r="F62" t="s">
        <v>52</v>
      </c>
      <c r="G62">
        <v>29</v>
      </c>
      <c r="H62" t="s">
        <v>46</v>
      </c>
      <c r="I62" t="s">
        <v>47</v>
      </c>
      <c r="J62" t="s">
        <v>48</v>
      </c>
      <c r="K62" t="str">
        <f t="shared" si="0"/>
        <v>On Track</v>
      </c>
      <c r="L62" t="str">
        <f t="shared" si="1"/>
        <v>High</v>
      </c>
      <c r="M62" t="str">
        <f t="shared" si="2"/>
        <v>Delayed</v>
      </c>
      <c r="N62" t="str">
        <f t="shared" si="3"/>
        <v>Approved</v>
      </c>
    </row>
    <row r="63" spans="1:14" x14ac:dyDescent="0.3">
      <c r="A63" t="s">
        <v>115</v>
      </c>
      <c r="B63">
        <v>23</v>
      </c>
      <c r="C63">
        <v>32</v>
      </c>
      <c r="D63">
        <v>36</v>
      </c>
      <c r="E63">
        <v>7</v>
      </c>
      <c r="F63" t="s">
        <v>52</v>
      </c>
      <c r="G63">
        <v>14</v>
      </c>
      <c r="H63" t="s">
        <v>46</v>
      </c>
      <c r="I63" t="s">
        <v>40</v>
      </c>
      <c r="J63" t="s">
        <v>48</v>
      </c>
      <c r="K63" t="str">
        <f t="shared" si="0"/>
        <v>On Track</v>
      </c>
      <c r="L63" t="str">
        <f t="shared" si="1"/>
        <v>High</v>
      </c>
      <c r="M63" t="str">
        <f t="shared" si="2"/>
        <v>Delayed</v>
      </c>
      <c r="N63" t="str">
        <f t="shared" si="3"/>
        <v>Approved</v>
      </c>
    </row>
    <row r="64" spans="1:14" x14ac:dyDescent="0.3">
      <c r="A64" t="s">
        <v>116</v>
      </c>
      <c r="B64">
        <v>89</v>
      </c>
      <c r="C64">
        <v>86</v>
      </c>
      <c r="D64">
        <v>40</v>
      </c>
      <c r="E64">
        <v>7</v>
      </c>
      <c r="F64" t="s">
        <v>61</v>
      </c>
      <c r="G64">
        <v>13</v>
      </c>
      <c r="H64" t="s">
        <v>64</v>
      </c>
      <c r="I64" t="s">
        <v>56</v>
      </c>
      <c r="J64" t="s">
        <v>41</v>
      </c>
      <c r="K64" t="str">
        <f t="shared" si="0"/>
        <v>On Track</v>
      </c>
      <c r="L64" t="str">
        <f t="shared" si="1"/>
        <v>High</v>
      </c>
      <c r="M64" t="str">
        <f t="shared" si="2"/>
        <v>Delayed</v>
      </c>
      <c r="N64" t="str">
        <f t="shared" si="3"/>
        <v>Approved</v>
      </c>
    </row>
    <row r="65" spans="1:14" x14ac:dyDescent="0.3">
      <c r="A65" t="s">
        <v>117</v>
      </c>
      <c r="B65">
        <v>55</v>
      </c>
      <c r="C65">
        <v>54</v>
      </c>
      <c r="D65">
        <v>10</v>
      </c>
      <c r="E65">
        <v>4</v>
      </c>
      <c r="F65" t="s">
        <v>28</v>
      </c>
      <c r="G65">
        <v>18</v>
      </c>
      <c r="H65" t="s">
        <v>30</v>
      </c>
      <c r="I65" t="s">
        <v>56</v>
      </c>
      <c r="J65" t="s">
        <v>48</v>
      </c>
      <c r="K65" t="str">
        <f t="shared" si="0"/>
        <v>On Track</v>
      </c>
      <c r="L65" t="str">
        <f t="shared" si="1"/>
        <v>High</v>
      </c>
      <c r="M65" t="str">
        <f t="shared" si="2"/>
        <v>Delayed</v>
      </c>
      <c r="N65" t="str">
        <f t="shared" si="3"/>
        <v>Approved</v>
      </c>
    </row>
    <row r="66" spans="1:14" x14ac:dyDescent="0.3">
      <c r="A66" t="s">
        <v>118</v>
      </c>
      <c r="B66">
        <v>11</v>
      </c>
      <c r="C66">
        <v>73</v>
      </c>
      <c r="D66">
        <v>75</v>
      </c>
      <c r="E66">
        <v>6</v>
      </c>
      <c r="F66" t="s">
        <v>39</v>
      </c>
      <c r="G66">
        <v>17</v>
      </c>
      <c r="H66" t="s">
        <v>46</v>
      </c>
      <c r="I66" t="s">
        <v>40</v>
      </c>
      <c r="J66" t="s">
        <v>41</v>
      </c>
      <c r="K66" t="str">
        <f t="shared" si="0"/>
        <v>On Track</v>
      </c>
      <c r="L66" t="str">
        <f t="shared" si="1"/>
        <v>High</v>
      </c>
      <c r="M66" t="str">
        <f t="shared" si="2"/>
        <v>Delayed</v>
      </c>
      <c r="N66" t="str">
        <f t="shared" si="3"/>
        <v>Approved</v>
      </c>
    </row>
    <row r="67" spans="1:14" x14ac:dyDescent="0.3">
      <c r="A67" t="s">
        <v>119</v>
      </c>
      <c r="B67">
        <v>72</v>
      </c>
      <c r="C67">
        <v>57</v>
      </c>
      <c r="D67">
        <v>54</v>
      </c>
      <c r="E67">
        <v>8</v>
      </c>
      <c r="F67" t="s">
        <v>44</v>
      </c>
      <c r="G67">
        <v>16</v>
      </c>
      <c r="H67" t="s">
        <v>46</v>
      </c>
      <c r="I67" t="s">
        <v>47</v>
      </c>
      <c r="J67" t="s">
        <v>41</v>
      </c>
      <c r="K67" t="str">
        <f t="shared" ref="K67:K101" si="4">IF(H67&lt;10,"Delayed","On Track")</f>
        <v>On Track</v>
      </c>
      <c r="L67" t="str">
        <f t="shared" ref="L67:L101" si="5">IF(E67&lt;20,"High",IF(E67&lt;50,"Medium","Low"))</f>
        <v>High</v>
      </c>
      <c r="M67" t="str">
        <f t="shared" ref="M67:M101" si="6">IF(G67&gt;6,"Delayed",IF(G67&gt;3,"Moderate","Fast"))</f>
        <v>Delayed</v>
      </c>
      <c r="N67" t="str">
        <f t="shared" ref="N67:N101" si="7">IF(I67="Fail","Attention Needed","Approved")</f>
        <v>Approved</v>
      </c>
    </row>
    <row r="68" spans="1:14" x14ac:dyDescent="0.3">
      <c r="A68" t="s">
        <v>120</v>
      </c>
      <c r="B68">
        <v>52</v>
      </c>
      <c r="C68">
        <v>13</v>
      </c>
      <c r="D68">
        <v>19</v>
      </c>
      <c r="E68">
        <v>8</v>
      </c>
      <c r="F68" t="s">
        <v>44</v>
      </c>
      <c r="G68">
        <v>24</v>
      </c>
      <c r="H68" t="s">
        <v>46</v>
      </c>
      <c r="I68" t="s">
        <v>31</v>
      </c>
      <c r="J68" t="s">
        <v>48</v>
      </c>
      <c r="K68" t="str">
        <f t="shared" si="4"/>
        <v>On Track</v>
      </c>
      <c r="L68" t="str">
        <f t="shared" si="5"/>
        <v>High</v>
      </c>
      <c r="M68" t="str">
        <f t="shared" si="6"/>
        <v>Delayed</v>
      </c>
      <c r="N68" t="str">
        <f t="shared" si="7"/>
        <v>Approved</v>
      </c>
    </row>
    <row r="69" spans="1:14" x14ac:dyDescent="0.3">
      <c r="A69" t="s">
        <v>121</v>
      </c>
      <c r="B69">
        <v>16</v>
      </c>
      <c r="C69">
        <v>12</v>
      </c>
      <c r="D69">
        <v>71</v>
      </c>
      <c r="E69">
        <v>9</v>
      </c>
      <c r="F69" t="s">
        <v>39</v>
      </c>
      <c r="G69">
        <v>10</v>
      </c>
      <c r="H69" t="s">
        <v>64</v>
      </c>
      <c r="I69" t="s">
        <v>56</v>
      </c>
      <c r="J69" t="s">
        <v>41</v>
      </c>
      <c r="K69" t="str">
        <f t="shared" si="4"/>
        <v>On Track</v>
      </c>
      <c r="L69" t="str">
        <f t="shared" si="5"/>
        <v>High</v>
      </c>
      <c r="M69" t="str">
        <f t="shared" si="6"/>
        <v>Delayed</v>
      </c>
      <c r="N69" t="str">
        <f t="shared" si="7"/>
        <v>Approved</v>
      </c>
    </row>
    <row r="70" spans="1:14" x14ac:dyDescent="0.3">
      <c r="A70" t="s">
        <v>122</v>
      </c>
      <c r="B70">
        <v>29</v>
      </c>
      <c r="C70">
        <v>0</v>
      </c>
      <c r="D70">
        <v>58</v>
      </c>
      <c r="E70">
        <v>8</v>
      </c>
      <c r="F70" t="s">
        <v>61</v>
      </c>
      <c r="G70">
        <v>2</v>
      </c>
      <c r="H70" t="s">
        <v>46</v>
      </c>
      <c r="I70" t="s">
        <v>47</v>
      </c>
      <c r="J70" t="s">
        <v>48</v>
      </c>
      <c r="K70" t="str">
        <f t="shared" si="4"/>
        <v>On Track</v>
      </c>
      <c r="L70" t="str">
        <f t="shared" si="5"/>
        <v>High</v>
      </c>
      <c r="M70" t="str">
        <f t="shared" si="6"/>
        <v>Fast</v>
      </c>
      <c r="N70" t="str">
        <f t="shared" si="7"/>
        <v>Approved</v>
      </c>
    </row>
    <row r="71" spans="1:14" x14ac:dyDescent="0.3">
      <c r="A71" t="s">
        <v>123</v>
      </c>
      <c r="B71">
        <v>62</v>
      </c>
      <c r="C71">
        <v>95</v>
      </c>
      <c r="D71">
        <v>27</v>
      </c>
      <c r="E71">
        <v>3</v>
      </c>
      <c r="F71" t="s">
        <v>52</v>
      </c>
      <c r="G71">
        <v>9</v>
      </c>
      <c r="H71" t="s">
        <v>30</v>
      </c>
      <c r="I71" t="s">
        <v>40</v>
      </c>
      <c r="J71" t="s">
        <v>48</v>
      </c>
      <c r="K71" t="str">
        <f t="shared" si="4"/>
        <v>On Track</v>
      </c>
      <c r="L71" t="str">
        <f t="shared" si="5"/>
        <v>High</v>
      </c>
      <c r="M71" t="str">
        <f t="shared" si="6"/>
        <v>Delayed</v>
      </c>
      <c r="N71" t="str">
        <f t="shared" si="7"/>
        <v>Approved</v>
      </c>
    </row>
    <row r="72" spans="1:14" x14ac:dyDescent="0.3">
      <c r="A72" t="s">
        <v>124</v>
      </c>
      <c r="B72">
        <v>90</v>
      </c>
      <c r="C72">
        <v>10</v>
      </c>
      <c r="D72">
        <v>22</v>
      </c>
      <c r="E72">
        <v>4</v>
      </c>
      <c r="F72" t="s">
        <v>39</v>
      </c>
      <c r="G72">
        <v>22</v>
      </c>
      <c r="H72" t="s">
        <v>64</v>
      </c>
      <c r="I72" t="s">
        <v>31</v>
      </c>
      <c r="J72" t="s">
        <v>41</v>
      </c>
      <c r="K72" t="str">
        <f t="shared" si="4"/>
        <v>On Track</v>
      </c>
      <c r="L72" t="str">
        <f t="shared" si="5"/>
        <v>High</v>
      </c>
      <c r="M72" t="str">
        <f t="shared" si="6"/>
        <v>Delayed</v>
      </c>
      <c r="N72" t="str">
        <f t="shared" si="7"/>
        <v>Approved</v>
      </c>
    </row>
    <row r="73" spans="1:14" x14ac:dyDescent="0.3">
      <c r="A73" t="s">
        <v>125</v>
      </c>
      <c r="B73">
        <v>14</v>
      </c>
      <c r="C73">
        <v>76</v>
      </c>
      <c r="D73">
        <v>26</v>
      </c>
      <c r="E73">
        <v>6</v>
      </c>
      <c r="F73" t="s">
        <v>61</v>
      </c>
      <c r="G73">
        <v>2</v>
      </c>
      <c r="H73" t="s">
        <v>30</v>
      </c>
      <c r="I73" t="s">
        <v>31</v>
      </c>
      <c r="J73" t="s">
        <v>48</v>
      </c>
      <c r="K73" t="str">
        <f t="shared" si="4"/>
        <v>On Track</v>
      </c>
      <c r="L73" t="str">
        <f t="shared" si="5"/>
        <v>High</v>
      </c>
      <c r="M73" t="str">
        <f t="shared" si="6"/>
        <v>Fast</v>
      </c>
      <c r="N73" t="str">
        <f t="shared" si="7"/>
        <v>Approved</v>
      </c>
    </row>
    <row r="74" spans="1:14" x14ac:dyDescent="0.3">
      <c r="A74" t="s">
        <v>126</v>
      </c>
      <c r="B74">
        <v>88</v>
      </c>
      <c r="C74">
        <v>57</v>
      </c>
      <c r="D74">
        <v>77</v>
      </c>
      <c r="E74">
        <v>9</v>
      </c>
      <c r="F74" t="s">
        <v>39</v>
      </c>
      <c r="G74">
        <v>21</v>
      </c>
      <c r="H74" t="s">
        <v>30</v>
      </c>
      <c r="I74" t="s">
        <v>47</v>
      </c>
      <c r="J74" t="s">
        <v>32</v>
      </c>
      <c r="K74" t="str">
        <f t="shared" si="4"/>
        <v>On Track</v>
      </c>
      <c r="L74" t="str">
        <f t="shared" si="5"/>
        <v>High</v>
      </c>
      <c r="M74" t="str">
        <f t="shared" si="6"/>
        <v>Delayed</v>
      </c>
      <c r="N74" t="str">
        <f t="shared" si="7"/>
        <v>Approved</v>
      </c>
    </row>
    <row r="75" spans="1:14" x14ac:dyDescent="0.3">
      <c r="A75" t="s">
        <v>127</v>
      </c>
      <c r="B75">
        <v>41</v>
      </c>
      <c r="C75">
        <v>17</v>
      </c>
      <c r="D75">
        <v>66</v>
      </c>
      <c r="E75">
        <v>5</v>
      </c>
      <c r="F75" t="s">
        <v>52</v>
      </c>
      <c r="G75">
        <v>13</v>
      </c>
      <c r="H75" t="s">
        <v>46</v>
      </c>
      <c r="I75" t="s">
        <v>31</v>
      </c>
      <c r="J75" t="s">
        <v>48</v>
      </c>
      <c r="K75" t="str">
        <f t="shared" si="4"/>
        <v>On Track</v>
      </c>
      <c r="L75" t="str">
        <f t="shared" si="5"/>
        <v>High</v>
      </c>
      <c r="M75" t="str">
        <f t="shared" si="6"/>
        <v>Delayed</v>
      </c>
      <c r="N75" t="str">
        <f t="shared" si="7"/>
        <v>Approved</v>
      </c>
    </row>
    <row r="76" spans="1:14" x14ac:dyDescent="0.3">
      <c r="A76" t="s">
        <v>128</v>
      </c>
      <c r="B76">
        <v>64</v>
      </c>
      <c r="C76">
        <v>41</v>
      </c>
      <c r="D76">
        <v>1</v>
      </c>
      <c r="E76">
        <v>5</v>
      </c>
      <c r="F76" t="s">
        <v>52</v>
      </c>
      <c r="G76">
        <v>1</v>
      </c>
      <c r="H76" t="s">
        <v>46</v>
      </c>
      <c r="I76" t="s">
        <v>47</v>
      </c>
      <c r="J76" t="s">
        <v>48</v>
      </c>
      <c r="K76" t="str">
        <f t="shared" si="4"/>
        <v>On Track</v>
      </c>
      <c r="L76" t="str">
        <f t="shared" si="5"/>
        <v>High</v>
      </c>
      <c r="M76" t="str">
        <f t="shared" si="6"/>
        <v>Fast</v>
      </c>
      <c r="N76" t="str">
        <f t="shared" si="7"/>
        <v>Approved</v>
      </c>
    </row>
    <row r="77" spans="1:14" x14ac:dyDescent="0.3">
      <c r="A77" t="s">
        <v>129</v>
      </c>
      <c r="B77">
        <v>29</v>
      </c>
      <c r="C77">
        <v>16</v>
      </c>
      <c r="D77">
        <v>56</v>
      </c>
      <c r="E77">
        <v>10</v>
      </c>
      <c r="F77" t="s">
        <v>39</v>
      </c>
      <c r="G77">
        <v>25</v>
      </c>
      <c r="H77" t="s">
        <v>64</v>
      </c>
      <c r="I77" t="s">
        <v>40</v>
      </c>
      <c r="J77" t="s">
        <v>41</v>
      </c>
      <c r="K77" t="str">
        <f t="shared" si="4"/>
        <v>On Track</v>
      </c>
      <c r="L77" t="str">
        <f t="shared" si="5"/>
        <v>High</v>
      </c>
      <c r="M77" t="str">
        <f t="shared" si="6"/>
        <v>Delayed</v>
      </c>
      <c r="N77" t="str">
        <f t="shared" si="7"/>
        <v>Approved</v>
      </c>
    </row>
    <row r="78" spans="1:14" x14ac:dyDescent="0.3">
      <c r="A78" t="s">
        <v>130</v>
      </c>
      <c r="B78">
        <v>23</v>
      </c>
      <c r="C78">
        <v>38</v>
      </c>
      <c r="D78">
        <v>22</v>
      </c>
      <c r="E78">
        <v>10</v>
      </c>
      <c r="F78" t="s">
        <v>61</v>
      </c>
      <c r="G78">
        <v>25</v>
      </c>
      <c r="H78" t="s">
        <v>30</v>
      </c>
      <c r="I78" t="s">
        <v>47</v>
      </c>
      <c r="J78" t="s">
        <v>48</v>
      </c>
      <c r="K78" t="str">
        <f t="shared" si="4"/>
        <v>On Track</v>
      </c>
      <c r="L78" t="str">
        <f t="shared" si="5"/>
        <v>High</v>
      </c>
      <c r="M78" t="str">
        <f t="shared" si="6"/>
        <v>Delayed</v>
      </c>
      <c r="N78" t="str">
        <f t="shared" si="7"/>
        <v>Approved</v>
      </c>
    </row>
    <row r="79" spans="1:14" x14ac:dyDescent="0.3">
      <c r="A79" t="s">
        <v>131</v>
      </c>
      <c r="B79">
        <v>14</v>
      </c>
      <c r="C79">
        <v>96</v>
      </c>
      <c r="D79">
        <v>57</v>
      </c>
      <c r="E79">
        <v>4</v>
      </c>
      <c r="F79" t="s">
        <v>39</v>
      </c>
      <c r="G79">
        <v>26</v>
      </c>
      <c r="H79" t="s">
        <v>64</v>
      </c>
      <c r="I79" t="s">
        <v>31</v>
      </c>
      <c r="J79" t="s">
        <v>32</v>
      </c>
      <c r="K79" t="str">
        <f t="shared" si="4"/>
        <v>On Track</v>
      </c>
      <c r="L79" t="str">
        <f t="shared" si="5"/>
        <v>High</v>
      </c>
      <c r="M79" t="str">
        <f t="shared" si="6"/>
        <v>Delayed</v>
      </c>
      <c r="N79" t="str">
        <f t="shared" si="7"/>
        <v>Approved</v>
      </c>
    </row>
    <row r="80" spans="1:14" x14ac:dyDescent="0.3">
      <c r="A80" t="s">
        <v>132</v>
      </c>
      <c r="B80">
        <v>50</v>
      </c>
      <c r="C80">
        <v>5</v>
      </c>
      <c r="D80">
        <v>51</v>
      </c>
      <c r="E80">
        <v>5</v>
      </c>
      <c r="F80" t="s">
        <v>44</v>
      </c>
      <c r="G80">
        <v>25</v>
      </c>
      <c r="H80" t="s">
        <v>30</v>
      </c>
      <c r="I80" t="s">
        <v>56</v>
      </c>
      <c r="J80" t="s">
        <v>41</v>
      </c>
      <c r="K80" t="str">
        <f t="shared" si="4"/>
        <v>On Track</v>
      </c>
      <c r="L80" t="str">
        <f t="shared" si="5"/>
        <v>High</v>
      </c>
      <c r="M80" t="str">
        <f t="shared" si="6"/>
        <v>Delayed</v>
      </c>
      <c r="N80" t="str">
        <f t="shared" si="7"/>
        <v>Approved</v>
      </c>
    </row>
    <row r="81" spans="1:14" x14ac:dyDescent="0.3">
      <c r="A81" t="s">
        <v>133</v>
      </c>
      <c r="B81">
        <v>56</v>
      </c>
      <c r="C81">
        <v>31</v>
      </c>
      <c r="D81">
        <v>20</v>
      </c>
      <c r="E81">
        <v>1</v>
      </c>
      <c r="F81" t="s">
        <v>28</v>
      </c>
      <c r="G81">
        <v>5</v>
      </c>
      <c r="H81" t="s">
        <v>30</v>
      </c>
      <c r="I81" t="s">
        <v>40</v>
      </c>
      <c r="J81" t="s">
        <v>41</v>
      </c>
      <c r="K81" t="str">
        <f t="shared" si="4"/>
        <v>On Track</v>
      </c>
      <c r="L81" t="str">
        <f t="shared" si="5"/>
        <v>High</v>
      </c>
      <c r="M81" t="str">
        <f t="shared" si="6"/>
        <v>Moderate</v>
      </c>
      <c r="N81" t="str">
        <f t="shared" si="7"/>
        <v>Approved</v>
      </c>
    </row>
    <row r="82" spans="1:14" x14ac:dyDescent="0.3">
      <c r="A82" t="s">
        <v>134</v>
      </c>
      <c r="B82">
        <v>75</v>
      </c>
      <c r="C82">
        <v>39</v>
      </c>
      <c r="D82">
        <v>41</v>
      </c>
      <c r="E82">
        <v>2</v>
      </c>
      <c r="F82" t="s">
        <v>28</v>
      </c>
      <c r="G82">
        <v>8</v>
      </c>
      <c r="H82" t="s">
        <v>46</v>
      </c>
      <c r="I82" t="s">
        <v>56</v>
      </c>
      <c r="J82" t="s">
        <v>32</v>
      </c>
      <c r="K82" t="str">
        <f t="shared" si="4"/>
        <v>On Track</v>
      </c>
      <c r="L82" t="str">
        <f t="shared" si="5"/>
        <v>High</v>
      </c>
      <c r="M82" t="str">
        <f t="shared" si="6"/>
        <v>Delayed</v>
      </c>
      <c r="N82" t="str">
        <f t="shared" si="7"/>
        <v>Approved</v>
      </c>
    </row>
    <row r="83" spans="1:14" x14ac:dyDescent="0.3">
      <c r="A83" t="s">
        <v>135</v>
      </c>
      <c r="B83">
        <v>9</v>
      </c>
      <c r="C83">
        <v>48</v>
      </c>
      <c r="D83">
        <v>8</v>
      </c>
      <c r="E83">
        <v>5</v>
      </c>
      <c r="F83" t="s">
        <v>28</v>
      </c>
      <c r="G83">
        <v>28</v>
      </c>
      <c r="H83" t="s">
        <v>30</v>
      </c>
      <c r="I83" t="s">
        <v>47</v>
      </c>
      <c r="J83" t="s">
        <v>32</v>
      </c>
      <c r="K83" t="str">
        <f t="shared" si="4"/>
        <v>On Track</v>
      </c>
      <c r="L83" t="str">
        <f t="shared" si="5"/>
        <v>High</v>
      </c>
      <c r="M83" t="str">
        <f t="shared" si="6"/>
        <v>Delayed</v>
      </c>
      <c r="N83" t="str">
        <f t="shared" si="7"/>
        <v>Approved</v>
      </c>
    </row>
    <row r="84" spans="1:14" x14ac:dyDescent="0.3">
      <c r="A84" t="s">
        <v>136</v>
      </c>
      <c r="B84">
        <v>13</v>
      </c>
      <c r="C84">
        <v>42</v>
      </c>
      <c r="D84">
        <v>72</v>
      </c>
      <c r="E84">
        <v>1</v>
      </c>
      <c r="F84" t="s">
        <v>61</v>
      </c>
      <c r="G84">
        <v>6</v>
      </c>
      <c r="H84" t="s">
        <v>30</v>
      </c>
      <c r="I84" t="s">
        <v>31</v>
      </c>
      <c r="J84" t="s">
        <v>41</v>
      </c>
      <c r="K84" t="str">
        <f t="shared" si="4"/>
        <v>On Track</v>
      </c>
      <c r="L84" t="str">
        <f t="shared" si="5"/>
        <v>High</v>
      </c>
      <c r="M84" t="str">
        <f t="shared" si="6"/>
        <v>Moderate</v>
      </c>
      <c r="N84" t="str">
        <f t="shared" si="7"/>
        <v>Approved</v>
      </c>
    </row>
    <row r="85" spans="1:14" x14ac:dyDescent="0.3">
      <c r="A85" t="s">
        <v>137</v>
      </c>
      <c r="B85">
        <v>82</v>
      </c>
      <c r="C85">
        <v>65</v>
      </c>
      <c r="D85">
        <v>7</v>
      </c>
      <c r="E85">
        <v>8</v>
      </c>
      <c r="F85" t="s">
        <v>39</v>
      </c>
      <c r="G85">
        <v>20</v>
      </c>
      <c r="H85" t="s">
        <v>46</v>
      </c>
      <c r="I85" t="s">
        <v>31</v>
      </c>
      <c r="J85" t="s">
        <v>48</v>
      </c>
      <c r="K85" t="str">
        <f t="shared" si="4"/>
        <v>On Track</v>
      </c>
      <c r="L85" t="str">
        <f t="shared" si="5"/>
        <v>High</v>
      </c>
      <c r="M85" t="str">
        <f t="shared" si="6"/>
        <v>Delayed</v>
      </c>
      <c r="N85" t="str">
        <f t="shared" si="7"/>
        <v>Approved</v>
      </c>
    </row>
    <row r="86" spans="1:14" x14ac:dyDescent="0.3">
      <c r="A86" t="s">
        <v>138</v>
      </c>
      <c r="B86">
        <v>99</v>
      </c>
      <c r="C86">
        <v>73</v>
      </c>
      <c r="D86">
        <v>80</v>
      </c>
      <c r="E86">
        <v>10</v>
      </c>
      <c r="F86" t="s">
        <v>44</v>
      </c>
      <c r="G86">
        <v>24</v>
      </c>
      <c r="H86" t="s">
        <v>64</v>
      </c>
      <c r="I86" t="s">
        <v>40</v>
      </c>
      <c r="J86" t="s">
        <v>32</v>
      </c>
      <c r="K86" t="str">
        <f t="shared" si="4"/>
        <v>On Track</v>
      </c>
      <c r="L86" t="str">
        <f t="shared" si="5"/>
        <v>High</v>
      </c>
      <c r="M86" t="str">
        <f t="shared" si="6"/>
        <v>Delayed</v>
      </c>
      <c r="N86" t="str">
        <f t="shared" si="7"/>
        <v>Approved</v>
      </c>
    </row>
    <row r="87" spans="1:14" x14ac:dyDescent="0.3">
      <c r="A87" t="s">
        <v>139</v>
      </c>
      <c r="B87">
        <v>83</v>
      </c>
      <c r="C87">
        <v>15</v>
      </c>
      <c r="D87">
        <v>66</v>
      </c>
      <c r="E87">
        <v>2</v>
      </c>
      <c r="F87" t="s">
        <v>44</v>
      </c>
      <c r="G87">
        <v>4</v>
      </c>
      <c r="H87" t="s">
        <v>46</v>
      </c>
      <c r="I87" t="s">
        <v>31</v>
      </c>
      <c r="J87" t="s">
        <v>32</v>
      </c>
      <c r="K87" t="str">
        <f t="shared" si="4"/>
        <v>On Track</v>
      </c>
      <c r="L87" t="str">
        <f t="shared" si="5"/>
        <v>High</v>
      </c>
      <c r="M87" t="str">
        <f t="shared" si="6"/>
        <v>Moderate</v>
      </c>
      <c r="N87" t="str">
        <f t="shared" si="7"/>
        <v>Approved</v>
      </c>
    </row>
    <row r="88" spans="1:14" x14ac:dyDescent="0.3">
      <c r="A88" t="s">
        <v>140</v>
      </c>
      <c r="B88">
        <v>18</v>
      </c>
      <c r="C88">
        <v>32</v>
      </c>
      <c r="D88">
        <v>22</v>
      </c>
      <c r="E88">
        <v>6</v>
      </c>
      <c r="F88" t="s">
        <v>39</v>
      </c>
      <c r="G88">
        <v>4</v>
      </c>
      <c r="H88" t="s">
        <v>64</v>
      </c>
      <c r="I88" t="s">
        <v>47</v>
      </c>
      <c r="J88" t="s">
        <v>48</v>
      </c>
      <c r="K88" t="str">
        <f t="shared" si="4"/>
        <v>On Track</v>
      </c>
      <c r="L88" t="str">
        <f t="shared" si="5"/>
        <v>High</v>
      </c>
      <c r="M88" t="str">
        <f t="shared" si="6"/>
        <v>Moderate</v>
      </c>
      <c r="N88" t="str">
        <f t="shared" si="7"/>
        <v>Approved</v>
      </c>
    </row>
    <row r="89" spans="1:14" x14ac:dyDescent="0.3">
      <c r="A89" t="s">
        <v>141</v>
      </c>
      <c r="B89">
        <v>24</v>
      </c>
      <c r="C89">
        <v>5</v>
      </c>
      <c r="D89">
        <v>55</v>
      </c>
      <c r="E89">
        <v>10</v>
      </c>
      <c r="F89" t="s">
        <v>28</v>
      </c>
      <c r="G89">
        <v>27</v>
      </c>
      <c r="H89" t="s">
        <v>46</v>
      </c>
      <c r="I89" t="s">
        <v>56</v>
      </c>
      <c r="J89" t="s">
        <v>32</v>
      </c>
      <c r="K89" t="str">
        <f t="shared" si="4"/>
        <v>On Track</v>
      </c>
      <c r="L89" t="str">
        <f t="shared" si="5"/>
        <v>High</v>
      </c>
      <c r="M89" t="str">
        <f t="shared" si="6"/>
        <v>Delayed</v>
      </c>
      <c r="N89" t="str">
        <f t="shared" si="7"/>
        <v>Approved</v>
      </c>
    </row>
    <row r="90" spans="1:14" x14ac:dyDescent="0.3">
      <c r="A90" t="s">
        <v>142</v>
      </c>
      <c r="B90">
        <v>58</v>
      </c>
      <c r="C90">
        <v>60</v>
      </c>
      <c r="D90">
        <v>85</v>
      </c>
      <c r="E90">
        <v>7</v>
      </c>
      <c r="F90" t="s">
        <v>61</v>
      </c>
      <c r="G90">
        <v>21</v>
      </c>
      <c r="H90" t="s">
        <v>30</v>
      </c>
      <c r="I90" t="s">
        <v>56</v>
      </c>
      <c r="J90" t="s">
        <v>48</v>
      </c>
      <c r="K90" t="str">
        <f t="shared" si="4"/>
        <v>On Track</v>
      </c>
      <c r="L90" t="str">
        <f t="shared" si="5"/>
        <v>High</v>
      </c>
      <c r="M90" t="str">
        <f t="shared" si="6"/>
        <v>Delayed</v>
      </c>
      <c r="N90" t="str">
        <f t="shared" si="7"/>
        <v>Approved</v>
      </c>
    </row>
    <row r="91" spans="1:14" x14ac:dyDescent="0.3">
      <c r="A91" t="s">
        <v>143</v>
      </c>
      <c r="B91">
        <v>10</v>
      </c>
      <c r="C91">
        <v>90</v>
      </c>
      <c r="D91">
        <v>27</v>
      </c>
      <c r="E91">
        <v>8</v>
      </c>
      <c r="F91" t="s">
        <v>39</v>
      </c>
      <c r="G91">
        <v>23</v>
      </c>
      <c r="H91" t="s">
        <v>30</v>
      </c>
      <c r="I91" t="s">
        <v>47</v>
      </c>
      <c r="J91" t="s">
        <v>32</v>
      </c>
      <c r="K91" t="str">
        <f t="shared" si="4"/>
        <v>On Track</v>
      </c>
      <c r="L91" t="str">
        <f t="shared" si="5"/>
        <v>High</v>
      </c>
      <c r="M91" t="str">
        <f t="shared" si="6"/>
        <v>Delayed</v>
      </c>
      <c r="N91" t="str">
        <f t="shared" si="7"/>
        <v>Approved</v>
      </c>
    </row>
    <row r="92" spans="1:14" x14ac:dyDescent="0.3">
      <c r="A92" t="s">
        <v>144</v>
      </c>
      <c r="B92">
        <v>56</v>
      </c>
      <c r="C92">
        <v>66</v>
      </c>
      <c r="D92">
        <v>96</v>
      </c>
      <c r="E92">
        <v>7</v>
      </c>
      <c r="F92" t="s">
        <v>28</v>
      </c>
      <c r="G92">
        <v>8</v>
      </c>
      <c r="H92" t="s">
        <v>64</v>
      </c>
      <c r="I92" t="s">
        <v>47</v>
      </c>
      <c r="J92" t="s">
        <v>32</v>
      </c>
      <c r="K92" t="str">
        <f t="shared" si="4"/>
        <v>On Track</v>
      </c>
      <c r="L92" t="str">
        <f t="shared" si="5"/>
        <v>High</v>
      </c>
      <c r="M92" t="str">
        <f t="shared" si="6"/>
        <v>Delayed</v>
      </c>
      <c r="N92" t="str">
        <f t="shared" si="7"/>
        <v>Approved</v>
      </c>
    </row>
    <row r="93" spans="1:14" x14ac:dyDescent="0.3">
      <c r="A93" t="s">
        <v>145</v>
      </c>
      <c r="B93">
        <v>90</v>
      </c>
      <c r="C93">
        <v>98</v>
      </c>
      <c r="D93">
        <v>85</v>
      </c>
      <c r="E93">
        <v>7</v>
      </c>
      <c r="F93" t="s">
        <v>52</v>
      </c>
      <c r="G93">
        <v>5</v>
      </c>
      <c r="H93" t="s">
        <v>30</v>
      </c>
      <c r="I93" t="s">
        <v>47</v>
      </c>
      <c r="J93" t="s">
        <v>32</v>
      </c>
      <c r="K93" t="str">
        <f t="shared" si="4"/>
        <v>On Track</v>
      </c>
      <c r="L93" t="str">
        <f t="shared" si="5"/>
        <v>High</v>
      </c>
      <c r="M93" t="str">
        <f t="shared" si="6"/>
        <v>Moderate</v>
      </c>
      <c r="N93" t="str">
        <f t="shared" si="7"/>
        <v>Approved</v>
      </c>
    </row>
    <row r="94" spans="1:14" x14ac:dyDescent="0.3">
      <c r="A94" t="s">
        <v>146</v>
      </c>
      <c r="B94">
        <v>44</v>
      </c>
      <c r="C94">
        <v>90</v>
      </c>
      <c r="D94">
        <v>10</v>
      </c>
      <c r="E94">
        <v>8</v>
      </c>
      <c r="F94" t="s">
        <v>61</v>
      </c>
      <c r="G94">
        <v>4</v>
      </c>
      <c r="H94" t="s">
        <v>64</v>
      </c>
      <c r="I94" t="s">
        <v>47</v>
      </c>
      <c r="J94" t="s">
        <v>32</v>
      </c>
      <c r="K94" t="str">
        <f t="shared" si="4"/>
        <v>On Track</v>
      </c>
      <c r="L94" t="str">
        <f t="shared" si="5"/>
        <v>High</v>
      </c>
      <c r="M94" t="str">
        <f t="shared" si="6"/>
        <v>Moderate</v>
      </c>
      <c r="N94" t="str">
        <f t="shared" si="7"/>
        <v>Approved</v>
      </c>
    </row>
    <row r="95" spans="1:14" x14ac:dyDescent="0.3">
      <c r="A95" t="s">
        <v>147</v>
      </c>
      <c r="B95">
        <v>88</v>
      </c>
      <c r="C95">
        <v>63</v>
      </c>
      <c r="D95">
        <v>66</v>
      </c>
      <c r="E95">
        <v>1</v>
      </c>
      <c r="F95" t="s">
        <v>52</v>
      </c>
      <c r="G95">
        <v>21</v>
      </c>
      <c r="H95" t="s">
        <v>46</v>
      </c>
      <c r="I95" t="s">
        <v>40</v>
      </c>
      <c r="J95" t="s">
        <v>48</v>
      </c>
      <c r="K95" t="str">
        <f t="shared" si="4"/>
        <v>On Track</v>
      </c>
      <c r="L95" t="str">
        <f t="shared" si="5"/>
        <v>High</v>
      </c>
      <c r="M95" t="str">
        <f t="shared" si="6"/>
        <v>Delayed</v>
      </c>
      <c r="N95" t="str">
        <f t="shared" si="7"/>
        <v>Approved</v>
      </c>
    </row>
    <row r="96" spans="1:14" x14ac:dyDescent="0.3">
      <c r="A96" t="s">
        <v>148</v>
      </c>
      <c r="B96">
        <v>97</v>
      </c>
      <c r="C96">
        <v>77</v>
      </c>
      <c r="D96">
        <v>72</v>
      </c>
      <c r="E96">
        <v>9</v>
      </c>
      <c r="F96" t="s">
        <v>61</v>
      </c>
      <c r="G96">
        <v>12</v>
      </c>
      <c r="H96" t="s">
        <v>64</v>
      </c>
      <c r="I96" t="s">
        <v>47</v>
      </c>
      <c r="J96" t="s">
        <v>32</v>
      </c>
      <c r="K96" t="str">
        <f t="shared" si="4"/>
        <v>On Track</v>
      </c>
      <c r="L96" t="str">
        <f t="shared" si="5"/>
        <v>High</v>
      </c>
      <c r="M96" t="str">
        <f t="shared" si="6"/>
        <v>Delayed</v>
      </c>
      <c r="N96" t="str">
        <f t="shared" si="7"/>
        <v>Approved</v>
      </c>
    </row>
    <row r="97" spans="1:14" x14ac:dyDescent="0.3">
      <c r="A97" t="s">
        <v>149</v>
      </c>
      <c r="B97">
        <v>65</v>
      </c>
      <c r="C97">
        <v>15</v>
      </c>
      <c r="D97">
        <v>26</v>
      </c>
      <c r="E97">
        <v>9</v>
      </c>
      <c r="F97" t="s">
        <v>52</v>
      </c>
      <c r="G97">
        <v>18</v>
      </c>
      <c r="H97" t="s">
        <v>30</v>
      </c>
      <c r="I97" t="s">
        <v>40</v>
      </c>
      <c r="J97" t="s">
        <v>48</v>
      </c>
      <c r="K97" t="str">
        <f t="shared" si="4"/>
        <v>On Track</v>
      </c>
      <c r="L97" t="str">
        <f t="shared" si="5"/>
        <v>High</v>
      </c>
      <c r="M97" t="str">
        <f t="shared" si="6"/>
        <v>Delayed</v>
      </c>
      <c r="N97" t="str">
        <f t="shared" si="7"/>
        <v>Approved</v>
      </c>
    </row>
    <row r="98" spans="1:14" x14ac:dyDescent="0.3">
      <c r="A98" t="s">
        <v>150</v>
      </c>
      <c r="B98">
        <v>29</v>
      </c>
      <c r="C98">
        <v>67</v>
      </c>
      <c r="D98">
        <v>32</v>
      </c>
      <c r="E98">
        <v>3</v>
      </c>
      <c r="F98" t="s">
        <v>28</v>
      </c>
      <c r="G98">
        <v>28</v>
      </c>
      <c r="H98" t="s">
        <v>30</v>
      </c>
      <c r="I98" t="s">
        <v>31</v>
      </c>
      <c r="J98" t="s">
        <v>48</v>
      </c>
      <c r="K98" t="str">
        <f t="shared" si="4"/>
        <v>On Track</v>
      </c>
      <c r="L98" t="str">
        <f t="shared" si="5"/>
        <v>High</v>
      </c>
      <c r="M98" t="str">
        <f t="shared" si="6"/>
        <v>Delayed</v>
      </c>
      <c r="N98" t="str">
        <f t="shared" si="7"/>
        <v>Approved</v>
      </c>
    </row>
    <row r="99" spans="1:14" x14ac:dyDescent="0.3">
      <c r="A99" t="s">
        <v>151</v>
      </c>
      <c r="B99">
        <v>56</v>
      </c>
      <c r="C99">
        <v>46</v>
      </c>
      <c r="D99">
        <v>4</v>
      </c>
      <c r="E99">
        <v>9</v>
      </c>
      <c r="F99" t="s">
        <v>52</v>
      </c>
      <c r="G99">
        <v>10</v>
      </c>
      <c r="H99" t="s">
        <v>46</v>
      </c>
      <c r="I99" t="s">
        <v>31</v>
      </c>
      <c r="J99" t="s">
        <v>48</v>
      </c>
      <c r="K99" t="str">
        <f t="shared" si="4"/>
        <v>On Track</v>
      </c>
      <c r="L99" t="str">
        <f t="shared" si="5"/>
        <v>High</v>
      </c>
      <c r="M99" t="str">
        <f t="shared" si="6"/>
        <v>Delayed</v>
      </c>
      <c r="N99" t="str">
        <f t="shared" si="7"/>
        <v>Approved</v>
      </c>
    </row>
    <row r="100" spans="1:14" x14ac:dyDescent="0.3">
      <c r="A100" t="s">
        <v>152</v>
      </c>
      <c r="B100">
        <v>43</v>
      </c>
      <c r="C100">
        <v>53</v>
      </c>
      <c r="D100">
        <v>27</v>
      </c>
      <c r="E100">
        <v>7</v>
      </c>
      <c r="F100" t="s">
        <v>44</v>
      </c>
      <c r="G100">
        <v>28</v>
      </c>
      <c r="H100" t="s">
        <v>30</v>
      </c>
      <c r="I100" t="s">
        <v>47</v>
      </c>
      <c r="J100" t="s">
        <v>48</v>
      </c>
      <c r="K100" t="str">
        <f t="shared" si="4"/>
        <v>On Track</v>
      </c>
      <c r="L100" t="str">
        <f t="shared" si="5"/>
        <v>High</v>
      </c>
      <c r="M100" t="str">
        <f t="shared" si="6"/>
        <v>Delayed</v>
      </c>
      <c r="N100" t="str">
        <f t="shared" si="7"/>
        <v>Approved</v>
      </c>
    </row>
    <row r="101" spans="1:14" x14ac:dyDescent="0.3">
      <c r="A101" t="s">
        <v>153</v>
      </c>
      <c r="B101">
        <v>17</v>
      </c>
      <c r="C101">
        <v>55</v>
      </c>
      <c r="D101">
        <v>59</v>
      </c>
      <c r="E101">
        <v>6</v>
      </c>
      <c r="F101" t="s">
        <v>61</v>
      </c>
      <c r="G101">
        <v>29</v>
      </c>
      <c r="H101" t="s">
        <v>46</v>
      </c>
      <c r="I101" t="s">
        <v>47</v>
      </c>
      <c r="J101" t="s">
        <v>32</v>
      </c>
      <c r="K101" t="str">
        <f t="shared" si="4"/>
        <v>On Track</v>
      </c>
      <c r="L101" t="str">
        <f t="shared" si="5"/>
        <v>High</v>
      </c>
      <c r="M101" t="str">
        <f t="shared" si="6"/>
        <v>Delayed</v>
      </c>
      <c r="N101" t="str">
        <f t="shared" si="7"/>
        <v>Approved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025E-A7DC-4C3D-B699-CEF04E443A9A}">
  <dimension ref="A1:I18"/>
  <sheetViews>
    <sheetView workbookViewId="0">
      <selection activeCell="E24" sqref="E24"/>
    </sheetView>
  </sheetViews>
  <sheetFormatPr defaultRowHeight="14.4" x14ac:dyDescent="0.3"/>
  <cols>
    <col min="1" max="1" width="12.5546875" bestFit="1" customWidth="1"/>
    <col min="2" max="2" width="19.77734375" bestFit="1" customWidth="1"/>
    <col min="4" max="4" width="12.5546875" bestFit="1" customWidth="1"/>
    <col min="5" max="5" width="20.77734375" bestFit="1" customWidth="1"/>
    <col min="8" max="8" width="12.5546875" bestFit="1" customWidth="1"/>
    <col min="9" max="9" width="20.77734375" customWidth="1"/>
  </cols>
  <sheetData>
    <row r="1" spans="1:9" x14ac:dyDescent="0.3">
      <c r="A1" t="s">
        <v>161</v>
      </c>
      <c r="D1" t="s">
        <v>176</v>
      </c>
      <c r="H1" t="s">
        <v>162</v>
      </c>
    </row>
    <row r="2" spans="1:9" x14ac:dyDescent="0.3">
      <c r="A2" s="1" t="s">
        <v>158</v>
      </c>
      <c r="B2" t="s">
        <v>160</v>
      </c>
      <c r="D2" s="1" t="s">
        <v>158</v>
      </c>
      <c r="E2" t="s">
        <v>174</v>
      </c>
      <c r="H2" s="1" t="s">
        <v>158</v>
      </c>
      <c r="I2" t="s">
        <v>163</v>
      </c>
    </row>
    <row r="3" spans="1:9" x14ac:dyDescent="0.3">
      <c r="A3" s="2" t="s">
        <v>57</v>
      </c>
      <c r="B3" s="3">
        <v>1343</v>
      </c>
      <c r="D3" s="2" t="s">
        <v>39</v>
      </c>
      <c r="E3" s="5">
        <v>5.5123018285508447</v>
      </c>
      <c r="H3" s="2" t="s">
        <v>40</v>
      </c>
      <c r="I3" s="4">
        <v>0.26</v>
      </c>
    </row>
    <row r="4" spans="1:9" x14ac:dyDescent="0.3">
      <c r="A4" s="2" t="s">
        <v>24</v>
      </c>
      <c r="B4" s="3">
        <v>1480</v>
      </c>
      <c r="D4" s="2" t="s">
        <v>61</v>
      </c>
      <c r="E4" s="5">
        <v>5.7391780614618826</v>
      </c>
      <c r="H4" s="2" t="s">
        <v>47</v>
      </c>
      <c r="I4" s="4">
        <v>0.28000000000000003</v>
      </c>
    </row>
    <row r="5" spans="1:9" x14ac:dyDescent="0.3">
      <c r="A5" s="2" t="s">
        <v>33</v>
      </c>
      <c r="B5" s="3">
        <v>2099</v>
      </c>
      <c r="D5" s="2" t="s">
        <v>28</v>
      </c>
      <c r="E5" s="5">
        <v>4.7887706252194722</v>
      </c>
      <c r="H5" s="2" t="s">
        <v>31</v>
      </c>
      <c r="I5" s="4">
        <v>0.28999999999999998</v>
      </c>
    </row>
    <row r="6" spans="1:9" x14ac:dyDescent="0.3">
      <c r="A6" s="2" t="s">
        <v>159</v>
      </c>
      <c r="B6" s="3">
        <v>4922</v>
      </c>
      <c r="D6" s="2" t="s">
        <v>52</v>
      </c>
      <c r="E6" s="5">
        <v>5.7595729745619417</v>
      </c>
      <c r="H6" s="2" t="s">
        <v>56</v>
      </c>
      <c r="I6" s="4">
        <v>0.17</v>
      </c>
    </row>
    <row r="7" spans="1:9" x14ac:dyDescent="0.3">
      <c r="D7" s="2" t="s">
        <v>44</v>
      </c>
      <c r="E7" s="5">
        <v>5.7898315310287227</v>
      </c>
      <c r="H7" s="2" t="s">
        <v>159</v>
      </c>
      <c r="I7" s="4">
        <v>1</v>
      </c>
    </row>
    <row r="8" spans="1:9" x14ac:dyDescent="0.3">
      <c r="A8" t="s">
        <v>164</v>
      </c>
      <c r="D8" s="2" t="s">
        <v>159</v>
      </c>
      <c r="E8" s="5">
        <v>5.5481490720195827</v>
      </c>
    </row>
    <row r="9" spans="1:9" x14ac:dyDescent="0.3">
      <c r="A9" s="1" t="s">
        <v>158</v>
      </c>
      <c r="B9" t="s">
        <v>165</v>
      </c>
    </row>
    <row r="10" spans="1:9" x14ac:dyDescent="0.3">
      <c r="A10" s="2" t="s">
        <v>53</v>
      </c>
      <c r="B10" s="5">
        <v>15.333333333333334</v>
      </c>
    </row>
    <row r="11" spans="1:9" x14ac:dyDescent="0.3">
      <c r="A11" s="2" t="s">
        <v>62</v>
      </c>
      <c r="B11" s="5">
        <v>17.149999999999999</v>
      </c>
      <c r="D11" t="s">
        <v>166</v>
      </c>
      <c r="H11" t="s">
        <v>177</v>
      </c>
    </row>
    <row r="12" spans="1:9" x14ac:dyDescent="0.3">
      <c r="A12" s="2" t="s">
        <v>50</v>
      </c>
      <c r="B12" s="5">
        <v>17.666666666666668</v>
      </c>
      <c r="D12" s="1" t="s">
        <v>158</v>
      </c>
      <c r="E12" t="s">
        <v>167</v>
      </c>
      <c r="H12" s="1" t="s">
        <v>158</v>
      </c>
      <c r="I12" t="s">
        <v>175</v>
      </c>
    </row>
    <row r="13" spans="1:9" x14ac:dyDescent="0.3">
      <c r="A13" s="2" t="s">
        <v>45</v>
      </c>
      <c r="B13" s="5">
        <v>15.92</v>
      </c>
      <c r="D13" s="2" t="s">
        <v>39</v>
      </c>
      <c r="E13" s="5">
        <v>1.8036297116882485</v>
      </c>
      <c r="H13" s="2" t="s">
        <v>48</v>
      </c>
      <c r="I13" s="5">
        <v>485.48312777565491</v>
      </c>
    </row>
    <row r="14" spans="1:9" x14ac:dyDescent="0.3">
      <c r="A14" s="2" t="s">
        <v>29</v>
      </c>
      <c r="B14" s="5">
        <v>14.272727272727273</v>
      </c>
      <c r="D14" s="2" t="s">
        <v>61</v>
      </c>
      <c r="E14" s="5">
        <v>2.3627501450718764</v>
      </c>
      <c r="H14" s="2" t="s">
        <v>32</v>
      </c>
      <c r="I14" s="5">
        <v>595.65902771895503</v>
      </c>
    </row>
    <row r="15" spans="1:9" x14ac:dyDescent="0.3">
      <c r="A15" s="2" t="s">
        <v>159</v>
      </c>
      <c r="B15" s="5">
        <v>15.96</v>
      </c>
      <c r="D15" s="2" t="s">
        <v>28</v>
      </c>
      <c r="E15" s="5">
        <v>2.4657860307644657</v>
      </c>
      <c r="H15" s="2" t="s">
        <v>41</v>
      </c>
      <c r="I15" s="5">
        <v>500.4709847929779</v>
      </c>
    </row>
    <row r="16" spans="1:9" x14ac:dyDescent="0.3">
      <c r="D16" s="2" t="s">
        <v>52</v>
      </c>
      <c r="E16" s="5">
        <v>2.3373974005913354</v>
      </c>
      <c r="H16" s="2" t="s">
        <v>159</v>
      </c>
      <c r="I16" s="5">
        <v>529.24578215814063</v>
      </c>
    </row>
    <row r="17" spans="4:5" x14ac:dyDescent="0.3">
      <c r="D17" s="2" t="s">
        <v>44</v>
      </c>
      <c r="E17" s="5">
        <v>2.6654083441491982</v>
      </c>
    </row>
    <row r="18" spans="4:5" x14ac:dyDescent="0.3">
      <c r="D18" s="2" t="s">
        <v>159</v>
      </c>
      <c r="E18" s="5">
        <v>2.2771579927396055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BAC6-5F5E-46C5-825A-EC4E69DDBE8D}">
  <dimension ref="B1:Y5"/>
  <sheetViews>
    <sheetView showGridLines="0" tabSelected="1" zoomScale="90" zoomScaleNormal="90" workbookViewId="0">
      <selection activeCell="A15" sqref="A15"/>
    </sheetView>
  </sheetViews>
  <sheetFormatPr defaultRowHeight="14.4" x14ac:dyDescent="0.3"/>
  <sheetData>
    <row r="1" spans="2:25" x14ac:dyDescent="0.3">
      <c r="H1" s="6" t="s">
        <v>168</v>
      </c>
      <c r="I1" s="7"/>
      <c r="J1" s="7"/>
      <c r="K1" s="7"/>
      <c r="L1" s="7"/>
      <c r="M1" s="7"/>
      <c r="N1" s="7"/>
      <c r="O1" s="7"/>
      <c r="P1" s="7"/>
      <c r="Q1" s="7"/>
      <c r="R1" s="7"/>
      <c r="S1" s="7"/>
    </row>
    <row r="2" spans="2:25" x14ac:dyDescent="0.3">
      <c r="H2" s="7"/>
      <c r="I2" s="7"/>
      <c r="J2" s="7"/>
      <c r="K2" s="7"/>
      <c r="L2" s="7"/>
      <c r="M2" s="7"/>
      <c r="N2" s="7"/>
      <c r="O2" s="7"/>
      <c r="P2" s="7"/>
      <c r="Q2" s="7"/>
      <c r="R2" s="7"/>
      <c r="S2" s="7"/>
    </row>
    <row r="4" spans="2:25" ht="21" x14ac:dyDescent="0.5">
      <c r="B4" s="9" t="s">
        <v>169</v>
      </c>
      <c r="C4" s="9"/>
      <c r="D4" s="9"/>
      <c r="E4" s="9"/>
      <c r="G4" s="9" t="s">
        <v>170</v>
      </c>
      <c r="H4" s="9"/>
      <c r="I4" s="9"/>
      <c r="J4" s="9"/>
      <c r="L4" s="9" t="s">
        <v>171</v>
      </c>
      <c r="M4" s="9"/>
      <c r="N4" s="9"/>
      <c r="O4" s="9"/>
      <c r="Q4" s="9" t="s">
        <v>172</v>
      </c>
      <c r="R4" s="9"/>
      <c r="S4" s="9"/>
      <c r="T4" s="9"/>
      <c r="V4" s="9" t="s">
        <v>173</v>
      </c>
      <c r="W4" s="9"/>
      <c r="X4" s="9"/>
      <c r="Y4" s="9"/>
    </row>
    <row r="5" spans="2:25" ht="25.2" x14ac:dyDescent="0.6">
      <c r="B5" s="8">
        <f>SUM(supply_chain_data!J:J)</f>
        <v>4922</v>
      </c>
      <c r="C5" s="8"/>
      <c r="D5" s="8"/>
      <c r="E5" s="8"/>
      <c r="G5" s="11">
        <f>SUM(supply_chain_data!F:F)</f>
        <v>577604.81873800792</v>
      </c>
      <c r="H5" s="11"/>
      <c r="I5" s="11"/>
      <c r="J5" s="11"/>
      <c r="L5" s="10">
        <f>AVERAGE(supply_chain_data!P:P)</f>
        <v>17.079999999999998</v>
      </c>
      <c r="M5" s="10"/>
      <c r="N5" s="10"/>
      <c r="O5" s="10"/>
      <c r="Q5" s="10">
        <f>AVERAGE(supply_chain_data!U:U)</f>
        <v>2.2771579927396073</v>
      </c>
      <c r="R5" s="10"/>
      <c r="S5" s="10"/>
      <c r="T5" s="10"/>
      <c r="V5" s="10">
        <f>SUM(supply_chain_data!M:M)</f>
        <v>554.81490720195836</v>
      </c>
      <c r="W5" s="10"/>
      <c r="X5" s="10"/>
      <c r="Y5" s="10"/>
    </row>
  </sheetData>
  <mergeCells count="11">
    <mergeCell ref="V4:Y4"/>
    <mergeCell ref="B5:E5"/>
    <mergeCell ref="G5:J5"/>
    <mergeCell ref="L5:O5"/>
    <mergeCell ref="Q5:T5"/>
    <mergeCell ref="V5:Y5"/>
    <mergeCell ref="H1:S2"/>
    <mergeCell ref="B4:E4"/>
    <mergeCell ref="G4:J4"/>
    <mergeCell ref="L4:O4"/>
    <mergeCell ref="Q4: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PO tracker</vt:lpstr>
      <vt:lpstr>Pivot</vt:lpstr>
      <vt:lpstr>Supply_Chain_Dashboard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KUMARI</dc:creator>
  <cp:lastModifiedBy>PRERNA KUMARI</cp:lastModifiedBy>
  <dcterms:created xsi:type="dcterms:W3CDTF">2026-05-19T17:25:30Z</dcterms:created>
  <dcterms:modified xsi:type="dcterms:W3CDTF">2026-05-19T18:17:20Z</dcterms:modified>
</cp:coreProperties>
</file>